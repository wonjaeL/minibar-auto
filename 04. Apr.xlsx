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Forum\FO\5. Frontdesk\Minibar\2026\"/>
    </mc:Choice>
  </mc:AlternateContent>
  <xr:revisionPtr revIDLastSave="0" documentId="13_ncr:1_{D1D7EB41-350F-450B-BF29-9AC9C9275530}" xr6:coauthVersionLast="47" xr6:coauthVersionMax="47" xr10:uidLastSave="{00000000-0000-0000-0000-000000000000}"/>
  <bookViews>
    <workbookView xWindow="19455" yWindow="0" windowWidth="9450" windowHeight="15585" firstSheet="25" activeTab="27" xr2:uid="{00000000-000D-0000-FFFF-FFFF00000000}"/>
  </bookViews>
  <sheets>
    <sheet name="Sheet1" sheetId="168" r:id="rId1"/>
    <sheet name="0401" sheetId="169" r:id="rId2"/>
    <sheet name="0402" sheetId="171" r:id="rId3"/>
    <sheet name="0403" sheetId="172" r:id="rId4"/>
    <sheet name="0404" sheetId="173" r:id="rId5"/>
    <sheet name="0405" sheetId="174" r:id="rId6"/>
    <sheet name="0406" sheetId="175" r:id="rId7"/>
    <sheet name="0407" sheetId="176" r:id="rId8"/>
    <sheet name="0408" sheetId="177" r:id="rId9"/>
    <sheet name="0409" sheetId="178" r:id="rId10"/>
    <sheet name="0410" sheetId="179" r:id="rId11"/>
    <sheet name="0411" sheetId="180" r:id="rId12"/>
    <sheet name="0412" sheetId="181" r:id="rId13"/>
    <sheet name="0414" sheetId="183" r:id="rId14"/>
    <sheet name="0415" sheetId="184" r:id="rId15"/>
    <sheet name="Sheet2" sheetId="182" r:id="rId16"/>
    <sheet name="0416" sheetId="185" r:id="rId17"/>
    <sheet name="0417" sheetId="186" r:id="rId18"/>
    <sheet name="0418" sheetId="187" r:id="rId19"/>
    <sheet name="0419" sheetId="188" r:id="rId20"/>
    <sheet name="0420" sheetId="189" r:id="rId21"/>
    <sheet name="0421" sheetId="190" r:id="rId22"/>
    <sheet name="0423" sheetId="192" r:id="rId23"/>
    <sheet name="0424" sheetId="193" r:id="rId24"/>
    <sheet name="0425" sheetId="196" r:id="rId25"/>
    <sheet name="0426" sheetId="197" r:id="rId26"/>
    <sheet name="0427" sheetId="198" r:id="rId27"/>
    <sheet name="0428" sheetId="199" r:id="rId28"/>
    <sheet name="14일" sheetId="83" state="hidden" r:id="rId29"/>
    <sheet name="15일" sheetId="84" state="hidden" r:id="rId30"/>
    <sheet name="18일" sheetId="86" state="hidden" r:id="rId31"/>
    <sheet name="19일" sheetId="87" state="hidden" r:id="rId32"/>
    <sheet name="24일" sheetId="92" state="hidden" r:id="rId33"/>
    <sheet name="20일" sheetId="88" state="hidden" r:id="rId34"/>
    <sheet name="21일" sheetId="89" state="hidden" r:id="rId35"/>
    <sheet name="22일" sheetId="90" state="hidden" r:id="rId36"/>
    <sheet name="23일" sheetId="91" state="hidden" r:id="rId3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92" l="1"/>
  <c r="D33" i="92"/>
  <c r="D32" i="92"/>
  <c r="D31" i="92"/>
  <c r="D30" i="92"/>
  <c r="D29" i="92"/>
  <c r="D28" i="92"/>
  <c r="D27" i="92"/>
  <c r="D26" i="92"/>
  <c r="D34" i="91" l="1"/>
  <c r="D33" i="91"/>
  <c r="D32" i="91"/>
  <c r="D31" i="91"/>
  <c r="D30" i="91"/>
  <c r="D29" i="91"/>
  <c r="D28" i="91"/>
  <c r="D27" i="91"/>
  <c r="D26" i="91"/>
  <c r="D34" i="90" l="1"/>
  <c r="D33" i="90"/>
  <c r="D32" i="90"/>
  <c r="D31" i="90"/>
  <c r="D30" i="90"/>
  <c r="D29" i="90"/>
  <c r="D28" i="90"/>
  <c r="D27" i="90"/>
  <c r="D26" i="90"/>
  <c r="D34" i="89" l="1"/>
  <c r="D33" i="89"/>
  <c r="D32" i="89"/>
  <c r="D31" i="89"/>
  <c r="D30" i="89"/>
  <c r="D29" i="89"/>
  <c r="D28" i="89"/>
  <c r="D27" i="89"/>
  <c r="D26" i="89"/>
  <c r="D34" i="88" l="1"/>
  <c r="D33" i="88"/>
  <c r="D32" i="88"/>
  <c r="D31" i="88"/>
  <c r="D30" i="88"/>
  <c r="D29" i="88"/>
  <c r="D28" i="88"/>
  <c r="D27" i="88"/>
  <c r="D26" i="88"/>
  <c r="D34" i="87" l="1"/>
  <c r="D33" i="87"/>
  <c r="D32" i="87"/>
  <c r="D31" i="87"/>
  <c r="D30" i="87"/>
  <c r="D29" i="87"/>
  <c r="D28" i="87"/>
  <c r="D27" i="87"/>
  <c r="D26" i="87"/>
  <c r="D34" i="86" l="1"/>
  <c r="D33" i="86"/>
  <c r="D32" i="86"/>
  <c r="D31" i="86"/>
  <c r="D30" i="86"/>
  <c r="D29" i="86"/>
  <c r="D28" i="86"/>
  <c r="D27" i="86"/>
  <c r="D26" i="86"/>
  <c r="C34" i="84" l="1"/>
  <c r="C33" i="84"/>
  <c r="C32" i="84"/>
  <c r="C31" i="84"/>
  <c r="C30" i="84"/>
  <c r="C29" i="84"/>
  <c r="C28" i="84"/>
  <c r="C27" i="84"/>
  <c r="C26" i="84"/>
  <c r="C34" i="83" l="1"/>
  <c r="C33" i="83"/>
  <c r="C32" i="83"/>
  <c r="C31" i="83"/>
  <c r="C30" i="83"/>
  <c r="C29" i="83"/>
  <c r="C28" i="83"/>
  <c r="C27" i="83"/>
  <c r="C26" i="8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tc={51162858-5615-402F-8444-BE9E9EE2EF85}</author>
    <author>tc={43A89F2B-F801-4A1B-B615-1A0DE8F7F2DE}</author>
  </authors>
  <commentList>
    <comment ref="S4" authorId="0" shapeId="0" xr:uid="{51162858-5615-402F-8444-BE9E9EE2EF8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미니바 제거 객실</t>
      </text>
    </comment>
    <comment ref="W4" authorId="1" shapeId="0" xr:uid="{43A89F2B-F801-4A1B-B615-1A0DE8F7F2D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팀즈 기록 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tc={4A8B110D-7BDE-4930-96E9-25E2AC0E48AB}</author>
    <author>tc={12D02881-1FB3-4023-A2F8-10A1F5BA8639}</author>
    <author>tc={A3B88BC4-D432-49E1-855E-0C830F1B0757}</author>
    <author>tc={C1E3FA56-BEC7-4ABA-9B25-BE118E54AD4A}</author>
    <author>tc={95CE082B-8CEE-413A-820E-8D0679BE3A8E}</author>
    <author>tc={370AF169-0C37-4FBF-A501-C0B6552B7A5E}</author>
    <author>tc={8AF9156C-CE10-416D-A09F-6E05ED9390FD}</author>
    <author>tc={824C1F03-2F4D-43BE-AF33-5856BA4B3585}</author>
  </authors>
  <commentList>
    <comment ref="G4" authorId="0" shapeId="0" xr:uid="{4A8B110D-7BDE-4930-96E9-25E2AC0E48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팀즈 미니바 기재 x</t>
      </text>
    </comment>
    <comment ref="I4" authorId="1" shapeId="0" xr:uid="{12D02881-1FB3-4023-A2F8-10A1F5BA863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팀즈 미니바 기재x</t>
      </text>
    </comment>
    <comment ref="O4" authorId="2" shapeId="0" xr:uid="{A3B88BC4-D432-49E1-855E-0C830F1B075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팀즈 기록 x</t>
      </text>
    </comment>
    <comment ref="Q4" authorId="3" shapeId="0" xr:uid="{C1E3FA56-BEC7-4ABA-9B25-BE118E54AD4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팀즈 기록 x</t>
      </text>
    </comment>
    <comment ref="W4" authorId="4" shapeId="0" xr:uid="{95CE082B-8CEE-413A-820E-8D0679BE3A8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팀즈 미니바 기재 x</t>
      </text>
    </comment>
    <comment ref="X4" authorId="5" shapeId="0" xr:uid="{370AF169-0C37-4FBF-A501-C0B6552B7A5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팀즈 미니바 기재 x</t>
      </text>
    </comment>
    <comment ref="Y4" authorId="6" shapeId="0" xr:uid="{8AF9156C-CE10-416D-A09F-6E05ED9390F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제일 최근 투숙 객실이 #465431274(3/17-24)으로 미송부</t>
      </text>
    </comment>
    <comment ref="Z4" authorId="7" shapeId="0" xr:uid="{824C1F03-2F4D-43BE-AF33-5856BA4B358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팀즈 미니바 기재 x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tc={77168DD3-AA28-4D85-843C-822DF7FF0834}</author>
    <author>tc={FC6077A3-C67A-49CC-A9FA-E50709DC67CA}</author>
    <author>tc={858544C5-B976-43F6-BF67-6022BB1280EB}</author>
  </authors>
  <commentList>
    <comment ref="O4" authorId="0" shapeId="0" xr:uid="{77168DD3-AA28-4D85-843C-822DF7FF083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팀즈 미니바 x</t>
      </text>
    </comment>
    <comment ref="T4" authorId="1" shapeId="0" xr:uid="{FC6077A3-C67A-49CC-A9FA-E50709DC67C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팀즈 기록 x</t>
      </text>
    </comment>
    <comment ref="X4" authorId="2" shapeId="0" xr:uid="{858544C5-B976-43F6-BF67-6022BB1280E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8개 셋업만 하신 건이라 포스팅 따로 하지 않음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tc={7863A643-850D-463D-929D-2E0B453260CD}</author>
    <author>tc={5477774E-A088-4EA5-97B5-B861F51F999D}</author>
  </authors>
  <commentList>
    <comment ref="L9" authorId="0" shapeId="0" xr:uid="{7863A643-850D-463D-929D-2E0B453260C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예비 총지배인님 콤프 건</t>
      </text>
    </comment>
    <comment ref="X11" authorId="1" shapeId="0" xr:uid="{5477774E-A088-4EA5-97B5-B861F51F999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포시즌스 투어 리더 객실 (이메일 없음)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tc={953AA821-B4A5-4C01-A582-7497232A2347}</author>
  </authors>
  <commentList>
    <comment ref="P8" authorId="0" shapeId="0" xr:uid="{953AA821-B4A5-4C01-A582-7497232A234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1018 -&gt; 1801 RMV 인하우스 1801 포스팅 완료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tc={761B6163-7771-4550-BBC9-B0BC97EF8F78}</author>
    <author>tc={604394D4-D08D-4131-A362-0F39173FDD94}</author>
    <author>tc={54FBF838-22D8-4C04-8180-53D9549DFC6F}</author>
    <author>tc={0D1ED41D-D5DE-4534-AFE3-558405191ED2}</author>
    <author>tc={0DCCD8EC-F37D-4A0A-8564-54638ABF41DD}</author>
    <author>tc={83044767-0DC4-455C-B8D4-2E3A4530007D}</author>
    <author>tc={3EDB7A08-9F1C-4036-80E6-FFC8FC47188F}</author>
    <author>tc={E050E9E0-4FD8-4F88-93CF-F021CF12F286}</author>
  </authors>
  <commentList>
    <comment ref="J4" authorId="0" shapeId="0" xr:uid="{761B6163-7771-4550-BBC9-B0BC97EF8F7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4/14 CO</t>
      </text>
    </comment>
    <comment ref="M4" authorId="1" shapeId="0" xr:uid="{604394D4-D08D-4131-A362-0F39173FDD9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4/12 CO</t>
      </text>
    </comment>
    <comment ref="P4" authorId="2" shapeId="0" xr:uid="{54FBF838-22D8-4C04-8180-53D9549DFC6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아시아 월드 그룹 이메일 없음</t>
      </text>
    </comment>
    <comment ref="S4" authorId="3" shapeId="0" xr:uid="{0D1ED41D-D5DE-4534-AFE3-558405191ED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4/11 CO</t>
      </text>
    </comment>
    <comment ref="T4" authorId="4" shapeId="0" xr:uid="{0DCCD8EC-F37D-4A0A-8564-54638ABF41D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4/11 CO</t>
      </text>
    </comment>
    <comment ref="U4" authorId="5" shapeId="0" xr:uid="{83044767-0DC4-455C-B8D4-2E3A4530007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4/12 CO</t>
      </text>
    </comment>
    <comment ref="W4" authorId="6" shapeId="0" xr:uid="{3EDB7A08-9F1C-4036-80E6-FFC8FC47188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4/16 CO</t>
      </text>
    </comment>
    <comment ref="Y4" authorId="7" shapeId="0" xr:uid="{E050E9E0-4FD8-4F88-93CF-F021CF12F28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4/13 CO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tc={AC9B99A2-478C-47A4-A2AC-238BE2FA40E8}</author>
  </authors>
  <commentList>
    <comment ref="AB9" authorId="0" shapeId="0" xr:uid="{AC9B99A2-478C-47A4-A2AC-238BE2FA40E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한미제약 이메일 주소 및 전화번호 없음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tc={1AC86AF4-25C0-4EEA-8901-3BBAAE8DD0AB}</author>
    <author>tc={27E9676D-2DD5-47D9-AB77-FD2D93FDC9E7}</author>
    <author>tc={65C8596F-9854-4E7D-A55F-6AA29E84E5B7}</author>
  </authors>
  <commentList>
    <comment ref="J6" authorId="0" shapeId="0" xr:uid="{1AC86AF4-25C0-4EEA-8901-3BBAAE8DD0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종근당 제약 객실이라서 메일 송부 X</t>
      </text>
    </comment>
    <comment ref="L7" authorId="1" shapeId="0" xr:uid="{27E9676D-2DD5-47D9-AB77-FD2D93FDC9E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종근당 제약 객실이라서 메일 송부 X</t>
      </text>
    </comment>
    <comment ref="K14" authorId="2" shapeId="0" xr:uid="{65C8596F-9854-4E7D-A55F-6AA29E84E5B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종근당 제약 객실이라서 메일 송부 X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tc={B34C9250-74F9-4499-A35D-5C8DAE98E4A7}</author>
  </authors>
  <commentList>
    <comment ref="AB5" authorId="0" shapeId="0" xr:uid="{B34C9250-74F9-4499-A35D-5C8DAE98E4A7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부회장님 지인객실
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tc={D2D328FD-9BEC-4C2E-BDB0-47A282653E64}</author>
    <author>tc={D1A4E2FB-6838-4FEB-B0A2-94BAD98CCB82}</author>
    <author>tc={9261A706-E9A4-4F98-ACE8-AA7248804CF8}</author>
    <author>tc={81BBA833-78B3-4487-8744-85CC2C8FF27F}</author>
    <author>tc={1EEAEC4E-AC8C-4D4A-8E06-9207191E8C73}</author>
  </authors>
  <commentList>
    <comment ref="G4" authorId="0" shapeId="0" xr:uid="{D2D328FD-9BEC-4C2E-BDB0-47A282653E6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팀즈 내역 x </t>
      </text>
    </comment>
    <comment ref="K4" authorId="1" shapeId="0" xr:uid="{D1A4E2FB-6838-4FEB-B0A2-94BAD98CCB8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미니바 팀즈 내역 x</t>
      </text>
    </comment>
    <comment ref="M4" authorId="2" shapeId="0" xr:uid="{9261A706-E9A4-4F98-ACE8-AA7248804CF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미니바 팀즈 내역 x</t>
      </text>
    </comment>
    <comment ref="P4" authorId="3" shapeId="0" xr:uid="{81BBA833-78B3-4487-8744-85CC2C8FF27F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미니바 팀즈 내역 X </t>
      </text>
    </comment>
    <comment ref="Q4" authorId="4" shapeId="0" xr:uid="{1EEAEC4E-AC8C-4D4A-8E06-9207191E8C73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미니바 팀즈 내역 X 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tc={AA87EC9D-2576-4953-8D28-608DE46E9328}</author>
    <author>tc={4CF3D1C1-DD9E-4FA6-8BCD-105BA9593CBC}</author>
  </authors>
  <commentList>
    <comment ref="G4" authorId="0" shapeId="0" xr:uid="{AA87EC9D-2576-4953-8D28-608DE46E9328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미니바 팀즈 내역 x </t>
      </text>
    </comment>
    <comment ref="Q4" authorId="1" shapeId="0" xr:uid="{4CF3D1C1-DD9E-4FA6-8BCD-105BA9593CB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미니바 팀즈 기재 x 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tc={13BD5C54-B025-4D8B-89F5-980FF8EB9E9B}</author>
    <author>tc={14F02601-5004-4C46-A2AA-4D87AE829DD7}</author>
    <author>tc={F7674AA9-EDD8-4444-A57A-F4B7347D02B5}</author>
  </authors>
  <commentList>
    <comment ref="I4" authorId="0" shapeId="0" xr:uid="{13BD5C54-B025-4D8B-89F5-980FF8EB9E9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에비앙 관련 이슈 객실 변제</t>
      </text>
    </comment>
    <comment ref="J4" authorId="1" shapeId="0" xr:uid="{14F02601-5004-4C46-A2AA-4D87AE829DD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아시아 월드 투어 그룹 발송 불가..</t>
      </text>
    </comment>
    <comment ref="V4" authorId="2" shapeId="0" xr:uid="{F7674AA9-EDD8-4444-A57A-F4B7347D02B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여러 이슈 발생 객실료 변제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tc={A313B536-B6F4-4EF5-B8E1-FDA926E99D1A}</author>
    <author>tc={3D354592-9D71-48E6-88A9-F65B6840EA57}</author>
    <author>tc={6FF09B43-6FA2-4D99-89AF-ACBABF26923A}</author>
    <author>tc={CA601766-9C6C-44B0-8AD9-EC5033789870}</author>
    <author>tc={B9AE8B20-F3C8-494F-B438-346B4ABAFE04}</author>
  </authors>
  <commentList>
    <comment ref="M4" authorId="0" shapeId="0" xr:uid="{A313B536-B6F4-4EF5-B8E1-FDA926E99D1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삼진제약 그룹 객실로 빌링 송부 못함</t>
      </text>
    </comment>
    <comment ref="Y5" authorId="1" shapeId="0" xr:uid="{3D354592-9D71-48E6-88A9-F65B6840EA5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삼진제약 그룹 객실로 빌링 송부 못함</t>
      </text>
    </comment>
    <comment ref="AD5" authorId="2" shapeId="0" xr:uid="{6FF09B43-6FA2-4D99-89AF-ACBABF26923A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삼진제약 그룹 객실로 빌링 송부 못함
</t>
      </text>
    </comment>
    <comment ref="L9" authorId="3" shapeId="0" xr:uid="{CA601766-9C6C-44B0-8AD9-EC50337898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삼진제약 그룹 객실로 빌링 송부 못함</t>
      </text>
    </comment>
    <comment ref="AA11" authorId="4" shapeId="0" xr:uid="{B9AE8B20-F3C8-494F-B438-346B4ABAFE0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삼진제약 그룹 객실로 빌링 송부 못함
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tc={FE442BB6-6AAE-4E2E-97D0-B6FBA39A1047}</author>
  </authors>
  <commentList>
    <comment ref="Z4" authorId="0" shapeId="0" xr:uid="{FE442BB6-6AAE-4E2E-97D0-B6FBA39A104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#715-&gt;#1518 룸무브 객실로 1518에 포스팅함</t>
      </text>
    </comment>
  </commentList>
</comments>
</file>

<file path=xl/sharedStrings.xml><?xml version="1.0" encoding="utf-8"?>
<sst xmlns="http://schemas.openxmlformats.org/spreadsheetml/2006/main" count="1256" uniqueCount="87">
  <si>
    <t>Item</t>
    <phoneticPr fontId="5" type="noConversion"/>
  </si>
  <si>
    <t>금액/호수</t>
    <phoneticPr fontId="6" type="noConversion"/>
  </si>
  <si>
    <t>에비앙</t>
    <phoneticPr fontId="6" type="noConversion"/>
  </si>
  <si>
    <t>레드불</t>
    <phoneticPr fontId="6" type="noConversion"/>
  </si>
  <si>
    <t>펩시콜라</t>
    <phoneticPr fontId="6" type="noConversion"/>
  </si>
  <si>
    <t>로아커</t>
    <phoneticPr fontId="6" type="noConversion"/>
  </si>
  <si>
    <t>밀레포글리에</t>
    <phoneticPr fontId="6" type="noConversion"/>
  </si>
  <si>
    <t>감자칩</t>
    <phoneticPr fontId="6" type="noConversion"/>
  </si>
  <si>
    <t>사과칩</t>
    <phoneticPr fontId="6" type="noConversion"/>
  </si>
  <si>
    <t>젠틀맨라거</t>
    <phoneticPr fontId="6" type="noConversion"/>
  </si>
  <si>
    <t>마담체리에일</t>
    <phoneticPr fontId="6" type="noConversion"/>
  </si>
  <si>
    <t>합계</t>
    <phoneticPr fontId="4" type="noConversion"/>
  </si>
  <si>
    <t>유통기한</t>
    <phoneticPr fontId="4" type="noConversion"/>
  </si>
  <si>
    <r>
      <t xml:space="preserve"> F / U
*</t>
    </r>
    <r>
      <rPr>
        <b/>
        <sz val="12"/>
        <rFont val="돋움"/>
        <family val="3"/>
        <charset val="129"/>
      </rPr>
      <t>고객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컨택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필요한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것</t>
    </r>
    <phoneticPr fontId="6" type="noConversion"/>
  </si>
  <si>
    <r>
      <rPr>
        <b/>
        <sz val="12"/>
        <rFont val="돋움"/>
        <family val="3"/>
        <charset val="129"/>
      </rPr>
      <t>중복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포스팅</t>
    </r>
    <phoneticPr fontId="6" type="noConversion"/>
  </si>
  <si>
    <t>GST denied</t>
    <phoneticPr fontId="6" type="noConversion"/>
  </si>
  <si>
    <r>
      <rPr>
        <b/>
        <sz val="12"/>
        <rFont val="돋움"/>
        <family val="3"/>
        <charset val="129"/>
      </rPr>
      <t>결제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완료</t>
    </r>
    <phoneticPr fontId="6" type="noConversion"/>
  </si>
  <si>
    <r>
      <t xml:space="preserve">* </t>
    </r>
    <r>
      <rPr>
        <b/>
        <u/>
        <sz val="10"/>
        <color theme="1"/>
        <rFont val="맑은 고딕"/>
        <family val="3"/>
        <charset val="129"/>
        <scheme val="minor"/>
      </rPr>
      <t xml:space="preserve">F/U 의 경우,
</t>
    </r>
    <r>
      <rPr>
        <sz val="9"/>
        <color theme="1"/>
        <rFont val="맑은 고딕"/>
        <family val="2"/>
        <charset val="129"/>
        <scheme val="minor"/>
      </rPr>
      <t xml:space="preserve">
 시간이 늦어서 컨택을 못한건지, 고객 부재중인건지 등
PM Trace에 같이 남겨주세요. 외부 전화 왔을 때 트레이스 보고 바로 확인 및 팔로웝 할 수 있도록!!
* 그 외 중복 포스팅, GST denied , 결제 완료 건은 트레이스에 별도 업데이트 필요 없이 엑셀에만 컬러로 저장할 것</t>
    </r>
    <phoneticPr fontId="4" type="noConversion"/>
  </si>
  <si>
    <t>객실 내 투숙기록 없음</t>
    <phoneticPr fontId="4" type="noConversion"/>
  </si>
  <si>
    <t>Item</t>
  </si>
  <si>
    <t>금액/호수</t>
  </si>
  <si>
    <t>에비앙</t>
  </si>
  <si>
    <t>레드불</t>
  </si>
  <si>
    <t>펩시콜라</t>
  </si>
  <si>
    <t>로아커</t>
  </si>
  <si>
    <t>밀레포글리에</t>
  </si>
  <si>
    <t>감자칩</t>
  </si>
  <si>
    <t>사과칩</t>
  </si>
  <si>
    <t>젠틀맨라거</t>
  </si>
  <si>
    <t>마담체리에일</t>
  </si>
  <si>
    <r>
      <t xml:space="preserve"> F / U
*</t>
    </r>
    <r>
      <rPr>
        <b/>
        <sz val="9"/>
        <rFont val="돋움"/>
        <family val="3"/>
        <charset val="129"/>
      </rPr>
      <t>고객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컨택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필요한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것</t>
    </r>
    <phoneticPr fontId="6" type="noConversion"/>
  </si>
  <si>
    <r>
      <rPr>
        <b/>
        <sz val="9"/>
        <rFont val="돋움"/>
        <family val="3"/>
        <charset val="129"/>
      </rPr>
      <t>중복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포스팅</t>
    </r>
    <phoneticPr fontId="6" type="noConversion"/>
  </si>
  <si>
    <r>
      <rPr>
        <b/>
        <sz val="9"/>
        <rFont val="돋움"/>
        <family val="3"/>
        <charset val="129"/>
      </rPr>
      <t>결제</t>
    </r>
    <r>
      <rPr>
        <b/>
        <sz val="9"/>
        <rFont val="Arial"/>
        <family val="2"/>
      </rPr>
      <t xml:space="preserve"> </t>
    </r>
    <r>
      <rPr>
        <b/>
        <sz val="9"/>
        <rFont val="돋움"/>
        <family val="3"/>
        <charset val="129"/>
      </rPr>
      <t>완료</t>
    </r>
    <phoneticPr fontId="6" type="noConversion"/>
  </si>
  <si>
    <r>
      <t xml:space="preserve">* </t>
    </r>
    <r>
      <rPr>
        <b/>
        <u/>
        <sz val="9"/>
        <color theme="1"/>
        <rFont val="맑은 고딕"/>
        <family val="3"/>
        <charset val="129"/>
        <scheme val="minor"/>
      </rPr>
      <t xml:space="preserve">F/U 의 경우,
</t>
    </r>
    <r>
      <rPr>
        <sz val="9"/>
        <color theme="1"/>
        <rFont val="맑은 고딕"/>
        <family val="2"/>
        <charset val="129"/>
        <scheme val="minor"/>
      </rPr>
      <t xml:space="preserve">
 시간이 늦어서 컨택을 못한건지, 고객 부재중인건지 등
PM Trace에 같이 남겨주세요. 외부 전화 왔을 때 트레이스 보고 바로 확인 및 팔로웝 할 수 있도록!!
* 그 외 중복 포스팅, GST denied , 결제 완료 건은 트레이스에 별도 업데이트 필요 없이 엑셀에만 컬러로 저장할 것</t>
    </r>
    <phoneticPr fontId="4" type="noConversion"/>
  </si>
  <si>
    <r>
      <rPr>
        <b/>
        <sz val="14"/>
        <color theme="1"/>
        <rFont val="맑은 고딕"/>
        <family val="3"/>
        <charset val="129"/>
      </rPr>
      <t>■</t>
    </r>
    <r>
      <rPr>
        <b/>
        <sz val="14"/>
        <color theme="1"/>
        <rFont val="Arial"/>
        <family val="2"/>
      </rPr>
      <t xml:space="preserve"> DAILY MINIBAR SALES</t>
    </r>
    <phoneticPr fontId="27" type="noConversion"/>
  </si>
  <si>
    <t>ITEM</t>
    <phoneticPr fontId="27" type="noConversion"/>
  </si>
  <si>
    <t>EXPIRATION
DATE 1</t>
    <phoneticPr fontId="27" type="noConversion"/>
  </si>
  <si>
    <t>EXPIRATION
DATE 2</t>
    <phoneticPr fontId="27" type="noConversion"/>
  </si>
  <si>
    <t>SALES
PRICE</t>
    <phoneticPr fontId="27" type="noConversion"/>
  </si>
  <si>
    <t>TOTAL
AMOUNT</t>
    <phoneticPr fontId="27" type="noConversion"/>
  </si>
  <si>
    <t>No.</t>
  </si>
  <si>
    <t>Room No.</t>
  </si>
  <si>
    <r>
      <t xml:space="preserve">Potato Chip
</t>
    </r>
    <r>
      <rPr>
        <sz val="10.5"/>
        <color theme="1"/>
        <rFont val="돋움"/>
        <family val="3"/>
        <charset val="129"/>
      </rPr>
      <t>감자칩</t>
    </r>
    <phoneticPr fontId="27" type="noConversion"/>
  </si>
  <si>
    <r>
      <t>26</t>
    </r>
    <r>
      <rPr>
        <sz val="10.5"/>
        <color theme="1"/>
        <rFont val="맑은 고딕"/>
        <family val="2"/>
        <charset val="129"/>
      </rPr>
      <t>년11월</t>
    </r>
    <phoneticPr fontId="27" type="noConversion"/>
  </si>
  <si>
    <r>
      <t xml:space="preserve">Haribo Jelly 
</t>
    </r>
    <r>
      <rPr>
        <sz val="10.5"/>
        <color theme="1"/>
        <rFont val="돋움"/>
        <family val="3"/>
        <charset val="129"/>
      </rPr>
      <t>하리보</t>
    </r>
    <phoneticPr fontId="27" type="noConversion"/>
  </si>
  <si>
    <r>
      <t>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11</t>
    </r>
    <r>
      <rPr>
        <sz val="10.5"/>
        <color theme="1"/>
        <rFont val="맑은 고딕"/>
        <family val="2"/>
        <charset val="129"/>
      </rPr>
      <t>월</t>
    </r>
    <phoneticPr fontId="27" type="noConversion"/>
  </si>
  <si>
    <r>
      <t xml:space="preserve">Fried Squid 
</t>
    </r>
    <r>
      <rPr>
        <sz val="10.5"/>
        <color theme="1"/>
        <rFont val="돋움"/>
        <family val="3"/>
        <charset val="129"/>
      </rPr>
      <t>오징어</t>
    </r>
    <phoneticPr fontId="27" type="noConversion"/>
  </si>
  <si>
    <r>
      <t>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10</t>
    </r>
    <r>
      <rPr>
        <sz val="10.5"/>
        <color theme="1"/>
        <rFont val="맑은 고딕"/>
        <family val="2"/>
        <charset val="129"/>
      </rPr>
      <t>월</t>
    </r>
    <phoneticPr fontId="27" type="noConversion"/>
  </si>
  <si>
    <r>
      <t xml:space="preserve">Evian 
</t>
    </r>
    <r>
      <rPr>
        <sz val="10.5"/>
        <color theme="1"/>
        <rFont val="돋움"/>
        <family val="3"/>
        <charset val="129"/>
      </rPr>
      <t>에비앙</t>
    </r>
    <phoneticPr fontId="27" type="noConversion"/>
  </si>
  <si>
    <r>
      <t>27</t>
    </r>
    <r>
      <rPr>
        <sz val="10.5"/>
        <color theme="1"/>
        <rFont val="맑은 고딕"/>
        <family val="2"/>
        <charset val="129"/>
      </rPr>
      <t>년8월</t>
    </r>
    <phoneticPr fontId="27" type="noConversion"/>
  </si>
  <si>
    <r>
      <t xml:space="preserve">Coke 
</t>
    </r>
    <r>
      <rPr>
        <sz val="10.5"/>
        <color theme="1"/>
        <rFont val="돋움"/>
        <family val="3"/>
        <charset val="129"/>
      </rPr>
      <t>콜라</t>
    </r>
    <phoneticPr fontId="27" type="noConversion"/>
  </si>
  <si>
    <r>
      <t>27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12</t>
    </r>
    <r>
      <rPr>
        <sz val="10.5"/>
        <color theme="1"/>
        <rFont val="맑은 고딕"/>
        <family val="2"/>
        <charset val="129"/>
      </rPr>
      <t>월</t>
    </r>
    <phoneticPr fontId="27" type="noConversion"/>
  </si>
  <si>
    <r>
      <t xml:space="preserve">Zero Coke 
</t>
    </r>
    <r>
      <rPr>
        <sz val="10.5"/>
        <color theme="1"/>
        <rFont val="돋움"/>
        <family val="3"/>
        <charset val="129"/>
      </rPr>
      <t>제로</t>
    </r>
    <r>
      <rPr>
        <sz val="10.5"/>
        <color theme="1"/>
        <rFont val="Arial"/>
        <family val="2"/>
      </rPr>
      <t xml:space="preserve"> </t>
    </r>
    <r>
      <rPr>
        <sz val="10.5"/>
        <color theme="1"/>
        <rFont val="돋움"/>
        <family val="3"/>
        <charset val="129"/>
      </rPr>
      <t>콜라</t>
    </r>
    <phoneticPr fontId="27" type="noConversion"/>
  </si>
  <si>
    <r>
      <t>27</t>
    </r>
    <r>
      <rPr>
        <sz val="10.5"/>
        <color theme="1"/>
        <rFont val="맑은 고딕"/>
        <family val="2"/>
        <charset val="129"/>
      </rPr>
      <t>년2월</t>
    </r>
    <phoneticPr fontId="27" type="noConversion"/>
  </si>
  <si>
    <r>
      <t xml:space="preserve">Sprite 
</t>
    </r>
    <r>
      <rPr>
        <sz val="10.5"/>
        <color theme="1"/>
        <rFont val="돋움"/>
        <family val="3"/>
        <charset val="129"/>
      </rPr>
      <t>스프라이트</t>
    </r>
    <phoneticPr fontId="27" type="noConversion"/>
  </si>
  <si>
    <r>
      <t>28</t>
    </r>
    <r>
      <rPr>
        <sz val="10.5"/>
        <color theme="1"/>
        <rFont val="맑은 고딕"/>
        <family val="2"/>
        <charset val="129"/>
      </rPr>
      <t>년1월</t>
    </r>
    <phoneticPr fontId="27" type="noConversion"/>
  </si>
  <si>
    <r>
      <t xml:space="preserve">Red Bull 
</t>
    </r>
    <r>
      <rPr>
        <sz val="10.5"/>
        <color theme="1"/>
        <rFont val="돋움"/>
        <family val="3"/>
        <charset val="129"/>
      </rPr>
      <t>레드불</t>
    </r>
    <phoneticPr fontId="27" type="noConversion"/>
  </si>
  <si>
    <r>
      <t xml:space="preserve">Budweiser 
</t>
    </r>
    <r>
      <rPr>
        <sz val="10.5"/>
        <color theme="1"/>
        <rFont val="돋움"/>
        <family val="3"/>
        <charset val="129"/>
      </rPr>
      <t>버드와이저</t>
    </r>
    <phoneticPr fontId="27" type="noConversion"/>
  </si>
  <si>
    <r>
      <t xml:space="preserve">Cass 
</t>
    </r>
    <r>
      <rPr>
        <sz val="10.5"/>
        <color theme="1"/>
        <rFont val="돋움"/>
        <family val="3"/>
        <charset val="129"/>
      </rPr>
      <t>카스</t>
    </r>
    <phoneticPr fontId="27" type="noConversion"/>
  </si>
  <si>
    <r>
      <t>27</t>
    </r>
    <r>
      <rPr>
        <sz val="10.5"/>
        <color theme="1"/>
        <rFont val="맑은 고딕"/>
        <family val="2"/>
        <charset val="129"/>
      </rPr>
      <t>년1월</t>
    </r>
    <phoneticPr fontId="27" type="noConversion"/>
  </si>
  <si>
    <r>
      <t xml:space="preserve">Despina 
</t>
    </r>
    <r>
      <rPr>
        <sz val="10.5"/>
        <color theme="1"/>
        <rFont val="돋움"/>
        <family val="3"/>
        <charset val="129"/>
      </rPr>
      <t>데스피나</t>
    </r>
    <phoneticPr fontId="27" type="noConversion"/>
  </si>
  <si>
    <r>
      <t xml:space="preserve">Neptune Pale Ale 
</t>
    </r>
    <r>
      <rPr>
        <sz val="10.5"/>
        <color theme="1"/>
        <rFont val="돋움"/>
        <family val="3"/>
        <charset val="129"/>
      </rPr>
      <t>넵튠</t>
    </r>
    <r>
      <rPr>
        <sz val="10.5"/>
        <color theme="1"/>
        <rFont val="Arial"/>
        <family val="2"/>
      </rPr>
      <t xml:space="preserve"> </t>
    </r>
    <r>
      <rPr>
        <sz val="10.5"/>
        <color theme="1"/>
        <rFont val="돋움"/>
        <family val="3"/>
        <charset val="129"/>
      </rPr>
      <t>에일</t>
    </r>
    <phoneticPr fontId="27" type="noConversion"/>
  </si>
  <si>
    <r>
      <t xml:space="preserve">Two Face Black IPA 
</t>
    </r>
    <r>
      <rPr>
        <sz val="10.5"/>
        <color theme="1"/>
        <rFont val="돋움"/>
        <family val="3"/>
        <charset val="129"/>
      </rPr>
      <t>투페이스</t>
    </r>
    <phoneticPr fontId="27" type="noConversion"/>
  </si>
  <si>
    <r>
      <t xml:space="preserve">No.5 Stout 
</t>
    </r>
    <r>
      <rPr>
        <sz val="10.5"/>
        <color theme="1"/>
        <rFont val="돋움"/>
        <family val="3"/>
        <charset val="129"/>
      </rPr>
      <t>넘버</t>
    </r>
    <r>
      <rPr>
        <sz val="10.5"/>
        <color theme="1"/>
        <rFont val="Arial"/>
        <family val="2"/>
      </rPr>
      <t>5</t>
    </r>
    <phoneticPr fontId="27" type="noConversion"/>
  </si>
  <si>
    <t>TOTAL</t>
    <phoneticPr fontId="27" type="noConversion"/>
  </si>
  <si>
    <r>
      <t>2026</t>
    </r>
    <r>
      <rPr>
        <sz val="10.5"/>
        <color theme="1"/>
        <rFont val="맑은 고딕"/>
        <family val="2"/>
        <charset val="129"/>
      </rPr>
      <t>년11월</t>
    </r>
    <phoneticPr fontId="27" type="noConversion"/>
  </si>
  <si>
    <r>
      <t>2026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11</t>
    </r>
    <r>
      <rPr>
        <sz val="10.5"/>
        <color theme="1"/>
        <rFont val="맑은 고딕"/>
        <family val="2"/>
        <charset val="129"/>
      </rPr>
      <t>월</t>
    </r>
    <phoneticPr fontId="27" type="noConversion"/>
  </si>
  <si>
    <r>
      <t>2026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10</t>
    </r>
    <r>
      <rPr>
        <sz val="10.5"/>
        <color theme="1"/>
        <rFont val="맑은 고딕"/>
        <family val="2"/>
        <charset val="129"/>
      </rPr>
      <t>월</t>
    </r>
    <phoneticPr fontId="27" type="noConversion"/>
  </si>
  <si>
    <r>
      <t>2026</t>
    </r>
    <r>
      <rPr>
        <sz val="10.5"/>
        <color theme="1"/>
        <rFont val="맑은 고딕"/>
        <family val="2"/>
        <charset val="129"/>
      </rPr>
      <t>년9월</t>
    </r>
    <phoneticPr fontId="27" type="noConversion"/>
  </si>
  <si>
    <r>
      <t>2027</t>
    </r>
    <r>
      <rPr>
        <sz val="10.5"/>
        <color theme="1"/>
        <rFont val="맑은 고딕"/>
        <family val="2"/>
        <charset val="129"/>
      </rPr>
      <t>년08월</t>
    </r>
    <phoneticPr fontId="27" type="noConversion"/>
  </si>
  <si>
    <r>
      <t>2027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12</t>
    </r>
    <r>
      <rPr>
        <sz val="10.5"/>
        <color theme="1"/>
        <rFont val="맑은 고딕"/>
        <family val="2"/>
        <charset val="129"/>
      </rPr>
      <t>월</t>
    </r>
    <phoneticPr fontId="27" type="noConversion"/>
  </si>
  <si>
    <r>
      <t>2027</t>
    </r>
    <r>
      <rPr>
        <sz val="10.5"/>
        <color theme="1"/>
        <rFont val="맑은 고딕"/>
        <family val="2"/>
        <charset val="129"/>
      </rPr>
      <t>년2월</t>
    </r>
    <phoneticPr fontId="27" type="noConversion"/>
  </si>
  <si>
    <r>
      <t>2028</t>
    </r>
    <r>
      <rPr>
        <sz val="10.5"/>
        <color theme="1"/>
        <rFont val="맑은 고딕"/>
        <family val="2"/>
        <charset val="129"/>
      </rPr>
      <t>년1월</t>
    </r>
    <phoneticPr fontId="27" type="noConversion"/>
  </si>
  <si>
    <r>
      <t>2027</t>
    </r>
    <r>
      <rPr>
        <sz val="10.5"/>
        <color theme="1"/>
        <rFont val="맑은 고딕"/>
        <family val="2"/>
        <charset val="129"/>
      </rPr>
      <t>년1월</t>
    </r>
    <phoneticPr fontId="27" type="noConversion"/>
  </si>
  <si>
    <r>
      <t>615(</t>
    </r>
    <r>
      <rPr>
        <sz val="10.5"/>
        <color theme="1"/>
        <rFont val="맑은 고딕"/>
        <family val="2"/>
        <charset val="129"/>
      </rPr>
      <t>콤프)</t>
    </r>
    <phoneticPr fontId="27" type="noConversion"/>
  </si>
  <si>
    <r>
      <t>2026</t>
    </r>
    <r>
      <rPr>
        <sz val="10.5"/>
        <color theme="1"/>
        <rFont val="맑은 고딕"/>
        <family val="2"/>
        <charset val="129"/>
      </rPr>
      <t>년7월</t>
    </r>
    <phoneticPr fontId="27" type="noConversion"/>
  </si>
  <si>
    <r>
      <t>2026</t>
    </r>
    <r>
      <rPr>
        <sz val="10.5"/>
        <color theme="1"/>
        <rFont val="맑은 고딕"/>
        <family val="2"/>
        <charset val="129"/>
      </rPr>
      <t>년7</t>
    </r>
    <r>
      <rPr>
        <sz val="10.5"/>
        <color theme="1"/>
        <rFont val="맑은 고딕"/>
        <family val="3"/>
        <charset val="129"/>
      </rPr>
      <t>월</t>
    </r>
    <phoneticPr fontId="27" type="noConversion"/>
  </si>
  <si>
    <r>
      <t>2027</t>
    </r>
    <r>
      <rPr>
        <sz val="10.5"/>
        <color theme="1"/>
        <rFont val="맑은 고딕"/>
        <family val="2"/>
        <charset val="129"/>
      </rPr>
      <t>년3월</t>
    </r>
    <phoneticPr fontId="27" type="noConversion"/>
  </si>
  <si>
    <r>
      <rPr>
        <b/>
        <sz val="14"/>
        <color theme="1"/>
        <rFont val="Segoe UI Symbol"/>
        <family val="3"/>
      </rPr>
      <t>■</t>
    </r>
    <r>
      <rPr>
        <b/>
        <sz val="14"/>
        <color theme="1"/>
        <rFont val="Arial"/>
        <family val="2"/>
      </rPr>
      <t xml:space="preserve"> DAILY MINIBAR SALES</t>
    </r>
    <phoneticPr fontId="27" type="noConversion"/>
  </si>
  <si>
    <r>
      <t>2026</t>
    </r>
    <r>
      <rPr>
        <sz val="10.5"/>
        <color theme="1"/>
        <rFont val="맑은 고딕"/>
        <family val="2"/>
        <charset val="129"/>
      </rPr>
      <t>년12월</t>
    </r>
    <phoneticPr fontId="27" type="noConversion"/>
  </si>
  <si>
    <r>
      <t>2026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12</t>
    </r>
    <r>
      <rPr>
        <sz val="10.5"/>
        <color theme="1"/>
        <rFont val="맑은 고딕"/>
        <family val="2"/>
        <charset val="129"/>
      </rPr>
      <t>월</t>
    </r>
    <phoneticPr fontId="27" type="noConversion"/>
  </si>
  <si>
    <r>
      <t>2028</t>
    </r>
    <r>
      <rPr>
        <sz val="10.5"/>
        <color theme="1"/>
        <rFont val="맑은 고딕"/>
        <family val="2"/>
        <charset val="129"/>
      </rPr>
      <t>년3월</t>
    </r>
    <phoneticPr fontId="27" type="noConversion"/>
  </si>
  <si>
    <r>
      <t>2026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8</t>
    </r>
    <r>
      <rPr>
        <sz val="10.5"/>
        <color theme="1"/>
        <rFont val="맑은 고딕"/>
        <family val="2"/>
        <charset val="129"/>
      </rPr>
      <t>월</t>
    </r>
    <r>
      <rPr>
        <sz val="10.5"/>
        <color theme="1"/>
        <rFont val="Arial"/>
        <family val="2"/>
      </rPr>
      <t>10</t>
    </r>
    <r>
      <rPr>
        <sz val="10.5"/>
        <color theme="1"/>
        <rFont val="맑은 고딕"/>
        <family val="2"/>
        <charset val="129"/>
      </rPr>
      <t>월</t>
    </r>
    <phoneticPr fontId="27" type="noConversion"/>
  </si>
  <si>
    <r>
      <t>2027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3</t>
    </r>
    <r>
      <rPr>
        <sz val="10.5"/>
        <color theme="1"/>
        <rFont val="맑은 고딕"/>
        <family val="2"/>
        <charset val="129"/>
      </rPr>
      <t>월</t>
    </r>
    <phoneticPr fontId="27" type="noConversion"/>
  </si>
  <si>
    <r>
      <t>2028</t>
    </r>
    <r>
      <rPr>
        <sz val="10.5"/>
        <color theme="1"/>
        <rFont val="맑은 고딕"/>
        <family val="2"/>
        <charset val="129"/>
      </rPr>
      <t>년2월</t>
    </r>
    <phoneticPr fontId="27" type="noConversion"/>
  </si>
  <si>
    <r>
      <t>2027</t>
    </r>
    <r>
      <rPr>
        <sz val="10.5"/>
        <color theme="1"/>
        <rFont val="맑은 고딕"/>
        <family val="2"/>
        <charset val="129"/>
      </rPr>
      <t>년</t>
    </r>
    <r>
      <rPr>
        <sz val="10.5"/>
        <color theme="1"/>
        <rFont val="Arial"/>
        <family val="2"/>
      </rPr>
      <t>4</t>
    </r>
    <r>
      <rPr>
        <sz val="10.5"/>
        <color theme="1"/>
        <rFont val="맑은 고딕"/>
        <family val="2"/>
        <charset val="129"/>
      </rPr>
      <t>월</t>
    </r>
    <phoneticPr fontId="27" type="noConversion"/>
  </si>
  <si>
    <r>
      <t>2026</t>
    </r>
    <r>
      <rPr>
        <sz val="10.5"/>
        <color theme="1"/>
        <rFont val="맑은 고딕"/>
        <family val="2"/>
        <charset val="129"/>
      </rPr>
      <t>년10</t>
    </r>
    <r>
      <rPr>
        <sz val="10.5"/>
        <color theme="1"/>
        <rFont val="맑은 고딕"/>
        <family val="3"/>
        <charset val="129"/>
      </rPr>
      <t>월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</si>
</sst>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바탕"/>
      <family val="1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9"/>
      <name val="HY견고딕"/>
      <family val="1"/>
      <charset val="129"/>
    </font>
    <font>
      <sz val="9"/>
      <name val="굴림체"/>
      <family val="3"/>
      <charset val="129"/>
    </font>
    <font>
      <sz val="9"/>
      <name val="HY엽서L"/>
      <family val="1"/>
      <charset val="129"/>
    </font>
    <font>
      <sz val="10"/>
      <name val="HY엽서L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b/>
      <sz val="12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name val="돋움"/>
      <family val="3"/>
      <charset val="129"/>
    </font>
    <font>
      <b/>
      <u/>
      <sz val="9"/>
      <color theme="1"/>
      <name val="맑은 고딕"/>
      <family val="3"/>
      <charset val="129"/>
      <scheme val="minor"/>
    </font>
    <font>
      <b/>
      <sz val="14"/>
      <color theme="1"/>
      <name val="Arial"/>
      <family val="2"/>
      <charset val="2"/>
    </font>
    <font>
      <b/>
      <sz val="14"/>
      <color theme="1"/>
      <name val="맑은 고딕"/>
      <family val="3"/>
      <charset val="129"/>
    </font>
    <font>
      <b/>
      <sz val="14"/>
      <color theme="1"/>
      <name val="Arial"/>
      <family val="2"/>
    </font>
    <font>
      <sz val="8"/>
      <name val="맑은 고딕"/>
      <family val="3"/>
      <charset val="129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.5"/>
      <color theme="1"/>
      <name val="Arial"/>
      <family val="2"/>
    </font>
    <font>
      <sz val="10.5"/>
      <color theme="1"/>
      <name val="돋움"/>
      <family val="3"/>
      <charset val="129"/>
    </font>
    <font>
      <sz val="10.5"/>
      <color theme="1"/>
      <name val="맑은 고딕"/>
      <family val="2"/>
      <charset val="129"/>
    </font>
    <font>
      <sz val="10.5"/>
      <color theme="1"/>
      <name val="맑은 고딕"/>
      <family val="3"/>
      <charset val="129"/>
    </font>
    <font>
      <sz val="10.5"/>
      <color rgb="FFFF0000"/>
      <name val="Arial"/>
      <family val="2"/>
    </font>
    <font>
      <b/>
      <sz val="14"/>
      <color theme="1"/>
      <name val="Arial"/>
      <family val="3"/>
      <charset val="2"/>
    </font>
    <font>
      <b/>
      <sz val="14"/>
      <color theme="1"/>
      <name val="Segoe UI Symbol"/>
      <family val="3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  <xf numFmtId="0" fontId="12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41" fontId="8" fillId="0" borderId="0" xfId="1" applyFont="1" applyFill="1" applyBorder="1" applyAlignment="1">
      <alignment horizontal="center" vertical="center"/>
    </xf>
    <xf numFmtId="41" fontId="10" fillId="3" borderId="1" xfId="1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4" borderId="20" xfId="0" applyFill="1" applyBorder="1">
      <alignment vertical="center"/>
    </xf>
    <xf numFmtId="0" fontId="0" fillId="0" borderId="20" xfId="0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41" fontId="8" fillId="0" borderId="0" xfId="6" applyFont="1" applyFill="1" applyBorder="1" applyAlignment="1">
      <alignment horizontal="center" vertical="center"/>
    </xf>
    <xf numFmtId="41" fontId="10" fillId="3" borderId="1" xfId="6" applyFont="1" applyFill="1" applyBorder="1" applyAlignment="1">
      <alignment horizontal="center" vertical="center"/>
    </xf>
    <xf numFmtId="41" fontId="10" fillId="0" borderId="1" xfId="6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5" borderId="1" xfId="2" applyFont="1" applyFill="1" applyBorder="1" applyAlignment="1">
      <alignment horizontal="center" vertical="center" wrapText="1"/>
    </xf>
    <xf numFmtId="0" fontId="11" fillId="6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18" fillId="0" borderId="0" xfId="0" applyFont="1">
      <alignment vertical="center"/>
    </xf>
    <xf numFmtId="0" fontId="19" fillId="9" borderId="7" xfId="0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5" fillId="0" borderId="0" xfId="0" applyFont="1">
      <alignment vertical="center"/>
    </xf>
    <xf numFmtId="0" fontId="15" fillId="4" borderId="20" xfId="0" applyFont="1" applyFill="1" applyBorder="1">
      <alignment vertical="center"/>
    </xf>
    <xf numFmtId="0" fontId="15" fillId="0" borderId="20" xfId="0" applyFont="1" applyBorder="1">
      <alignment vertical="center"/>
    </xf>
    <xf numFmtId="0" fontId="28" fillId="0" borderId="0" xfId="0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protection locked="0"/>
    </xf>
    <xf numFmtId="1" fontId="29" fillId="0" borderId="0" xfId="0" applyNumberFormat="1" applyFont="1" applyAlignment="1" applyProtection="1">
      <alignment horizontal="center" vertical="center"/>
      <protection locked="0"/>
    </xf>
    <xf numFmtId="1" fontId="30" fillId="13" borderId="26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27" xfId="0" applyFont="1" applyBorder="1" applyAlignment="1" applyProtection="1">
      <alignment horizontal="center" vertical="center"/>
      <protection locked="0"/>
    </xf>
    <xf numFmtId="0" fontId="30" fillId="0" borderId="28" xfId="0" applyFont="1" applyBorder="1" applyAlignment="1" applyProtection="1">
      <alignment horizontal="center" vertical="center"/>
      <protection locked="0"/>
    </xf>
    <xf numFmtId="1" fontId="30" fillId="13" borderId="32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33" xfId="0" applyFont="1" applyBorder="1" applyAlignment="1" applyProtection="1">
      <alignment horizontal="center" vertical="center"/>
      <protection locked="0"/>
    </xf>
    <xf numFmtId="0" fontId="30" fillId="0" borderId="34" xfId="0" applyFont="1" applyBorder="1" applyAlignment="1" applyProtection="1">
      <alignment horizontal="center" vertical="center" wrapText="1"/>
      <protection locked="0"/>
    </xf>
    <xf numFmtId="0" fontId="30" fillId="0" borderId="34" xfId="0" applyFont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41" fontId="30" fillId="0" borderId="36" xfId="0" applyNumberFormat="1" applyFont="1" applyBorder="1" applyAlignment="1" applyProtection="1">
      <alignment horizontal="center" vertical="center"/>
      <protection locked="0"/>
    </xf>
    <xf numFmtId="41" fontId="30" fillId="0" borderId="35" xfId="0" applyNumberFormat="1" applyFont="1" applyBorder="1" applyAlignment="1" applyProtection="1">
      <alignment horizontal="center" vertical="center"/>
      <protection hidden="1"/>
    </xf>
    <xf numFmtId="41" fontId="30" fillId="13" borderId="37" xfId="0" applyNumberFormat="1" applyFont="1" applyFill="1" applyBorder="1" applyAlignment="1" applyProtection="1">
      <alignment horizontal="center" vertical="center"/>
      <protection hidden="1"/>
    </xf>
    <xf numFmtId="41" fontId="30" fillId="0" borderId="38" xfId="0" applyNumberFormat="1" applyFont="1" applyBorder="1" applyAlignment="1" applyProtection="1">
      <alignment horizontal="center" vertical="center"/>
      <protection locked="0"/>
    </xf>
    <xf numFmtId="0" fontId="30" fillId="0" borderId="39" xfId="0" applyFont="1" applyBorder="1" applyAlignment="1" applyProtection="1">
      <alignment horizontal="center" vertical="center" wrapText="1"/>
      <protection locked="0"/>
    </xf>
    <xf numFmtId="0" fontId="30" fillId="0" borderId="39" xfId="0" applyFont="1" applyBorder="1" applyAlignment="1" applyProtection="1">
      <alignment horizontal="center" vertical="center"/>
      <protection locked="0"/>
    </xf>
    <xf numFmtId="0" fontId="30" fillId="0" borderId="40" xfId="0" applyFont="1" applyBorder="1" applyAlignment="1" applyProtection="1">
      <alignment horizontal="center" vertical="center"/>
      <protection locked="0"/>
    </xf>
    <xf numFmtId="41" fontId="30" fillId="0" borderId="41" xfId="0" applyNumberFormat="1" applyFont="1" applyBorder="1" applyAlignment="1" applyProtection="1">
      <alignment horizontal="center" vertical="center"/>
      <protection locked="0"/>
    </xf>
    <xf numFmtId="41" fontId="30" fillId="0" borderId="40" xfId="0" applyNumberFormat="1" applyFont="1" applyBorder="1" applyAlignment="1" applyProtection="1">
      <alignment horizontal="center" vertical="center"/>
      <protection hidden="1"/>
    </xf>
    <xf numFmtId="41" fontId="30" fillId="0" borderId="42" xfId="0" applyNumberFormat="1" applyFont="1" applyBorder="1" applyAlignment="1" applyProtection="1">
      <alignment horizontal="center" vertical="center"/>
      <protection locked="0"/>
    </xf>
    <xf numFmtId="41" fontId="30" fillId="0" borderId="43" xfId="0" applyNumberFormat="1" applyFont="1" applyBorder="1" applyAlignment="1" applyProtection="1">
      <alignment horizontal="center" vertical="center"/>
      <protection locked="0"/>
    </xf>
    <xf numFmtId="0" fontId="30" fillId="0" borderId="44" xfId="0" applyFont="1" applyBorder="1" applyAlignment="1" applyProtection="1">
      <alignment horizontal="center" vertical="center" wrapText="1"/>
      <protection locked="0"/>
    </xf>
    <xf numFmtId="0" fontId="30" fillId="0" borderId="44" xfId="0" applyFont="1" applyBorder="1" applyAlignment="1" applyProtection="1">
      <alignment horizontal="center" vertical="center"/>
      <protection locked="0"/>
    </xf>
    <xf numFmtId="0" fontId="30" fillId="0" borderId="45" xfId="0" applyFont="1" applyBorder="1" applyAlignment="1" applyProtection="1">
      <alignment horizontal="center" vertical="center"/>
      <protection locked="0"/>
    </xf>
    <xf numFmtId="41" fontId="30" fillId="0" borderId="46" xfId="0" applyNumberFormat="1" applyFont="1" applyBorder="1" applyAlignment="1" applyProtection="1">
      <alignment horizontal="center" vertical="center"/>
      <protection locked="0"/>
    </xf>
    <xf numFmtId="41" fontId="30" fillId="0" borderId="45" xfId="0" applyNumberFormat="1" applyFont="1" applyBorder="1" applyAlignment="1" applyProtection="1">
      <alignment horizontal="center" vertical="center"/>
      <protection hidden="1"/>
    </xf>
    <xf numFmtId="41" fontId="30" fillId="13" borderId="48" xfId="0" applyNumberFormat="1" applyFont="1" applyFill="1" applyBorder="1" applyAlignment="1" applyProtection="1">
      <alignment horizontal="center" vertical="center"/>
      <protection hidden="1"/>
    </xf>
    <xf numFmtId="41" fontId="30" fillId="13" borderId="46" xfId="0" applyNumberFormat="1" applyFont="1" applyFill="1" applyBorder="1" applyAlignment="1" applyProtection="1">
      <alignment horizontal="center" vertical="center"/>
      <protection hidden="1"/>
    </xf>
    <xf numFmtId="41" fontId="30" fillId="13" borderId="50" xfId="0" applyNumberFormat="1" applyFont="1" applyFill="1" applyBorder="1" applyAlignment="1" applyProtection="1">
      <alignment horizontal="center" vertical="center"/>
      <protection hidden="1"/>
    </xf>
    <xf numFmtId="41" fontId="30" fillId="14" borderId="42" xfId="0" applyNumberFormat="1" applyFont="1" applyFill="1" applyBorder="1" applyAlignment="1" applyProtection="1">
      <alignment horizontal="center" vertical="center"/>
      <protection locked="0"/>
    </xf>
    <xf numFmtId="41" fontId="30" fillId="14" borderId="38" xfId="0" applyNumberFormat="1" applyFont="1" applyFill="1" applyBorder="1" applyAlignment="1" applyProtection="1">
      <alignment horizontal="center" vertical="center"/>
      <protection locked="0"/>
    </xf>
    <xf numFmtId="41" fontId="30" fillId="15" borderId="42" xfId="0" applyNumberFormat="1" applyFont="1" applyFill="1" applyBorder="1" applyAlignment="1" applyProtection="1">
      <alignment horizontal="center" vertical="center"/>
      <protection locked="0"/>
    </xf>
    <xf numFmtId="41" fontId="30" fillId="16" borderId="42" xfId="0" applyNumberFormat="1" applyFont="1" applyFill="1" applyBorder="1" applyAlignment="1" applyProtection="1">
      <alignment horizontal="center" vertical="center"/>
      <protection locked="0"/>
    </xf>
    <xf numFmtId="41" fontId="30" fillId="14" borderId="43" xfId="0" applyNumberFormat="1" applyFont="1" applyFill="1" applyBorder="1" applyAlignment="1" applyProtection="1">
      <alignment horizontal="center" vertical="center"/>
      <protection locked="0"/>
    </xf>
    <xf numFmtId="41" fontId="30" fillId="2" borderId="42" xfId="0" applyNumberFormat="1" applyFont="1" applyFill="1" applyBorder="1" applyAlignment="1" applyProtection="1">
      <alignment horizontal="center" vertical="center"/>
      <protection locked="0"/>
    </xf>
    <xf numFmtId="41" fontId="30" fillId="2" borderId="38" xfId="0" applyNumberFormat="1" applyFont="1" applyFill="1" applyBorder="1" applyAlignment="1" applyProtection="1">
      <alignment horizontal="center" vertical="center"/>
      <protection locked="0"/>
    </xf>
    <xf numFmtId="41" fontId="30" fillId="16" borderId="38" xfId="0" applyNumberFormat="1" applyFont="1" applyFill="1" applyBorder="1" applyAlignment="1" applyProtection="1">
      <alignment horizontal="center" vertical="center"/>
      <protection locked="0"/>
    </xf>
    <xf numFmtId="41" fontId="30" fillId="16" borderId="43" xfId="0" applyNumberFormat="1" applyFont="1" applyFill="1" applyBorder="1" applyAlignment="1" applyProtection="1">
      <alignment horizontal="center" vertical="center"/>
      <protection locked="0"/>
    </xf>
    <xf numFmtId="0" fontId="30" fillId="0" borderId="0" xfId="0" applyFont="1" applyAlignment="1" applyProtection="1">
      <protection locked="0"/>
    </xf>
    <xf numFmtId="41" fontId="30" fillId="10" borderId="42" xfId="0" applyNumberFormat="1" applyFont="1" applyFill="1" applyBorder="1" applyAlignment="1" applyProtection="1">
      <alignment horizontal="center" vertical="center"/>
      <protection locked="0"/>
    </xf>
    <xf numFmtId="41" fontId="30" fillId="9" borderId="42" xfId="0" applyNumberFormat="1" applyFont="1" applyFill="1" applyBorder="1" applyAlignment="1" applyProtection="1">
      <alignment horizontal="center" vertical="center"/>
      <protection locked="0"/>
    </xf>
    <xf numFmtId="41" fontId="30" fillId="10" borderId="38" xfId="0" applyNumberFormat="1" applyFont="1" applyFill="1" applyBorder="1" applyAlignment="1" applyProtection="1">
      <alignment horizontal="center" vertical="center"/>
      <protection locked="0"/>
    </xf>
    <xf numFmtId="41" fontId="30" fillId="9" borderId="38" xfId="0" applyNumberFormat="1" applyFont="1" applyFill="1" applyBorder="1" applyAlignment="1" applyProtection="1">
      <alignment horizontal="center" vertical="center"/>
      <protection locked="0"/>
    </xf>
    <xf numFmtId="41" fontId="30" fillId="8" borderId="42" xfId="0" applyNumberFormat="1" applyFont="1" applyFill="1" applyBorder="1" applyAlignment="1" applyProtection="1">
      <alignment horizontal="center" vertical="center"/>
      <protection locked="0"/>
    </xf>
    <xf numFmtId="41" fontId="30" fillId="9" borderId="43" xfId="0" applyNumberFormat="1" applyFont="1" applyFill="1" applyBorder="1" applyAlignment="1" applyProtection="1">
      <alignment horizontal="center" vertical="center"/>
      <protection locked="0"/>
    </xf>
    <xf numFmtId="41" fontId="30" fillId="17" borderId="42" xfId="0" applyNumberFormat="1" applyFont="1" applyFill="1" applyBorder="1" applyAlignment="1" applyProtection="1">
      <alignment horizontal="center" vertical="center"/>
      <protection locked="0"/>
    </xf>
    <xf numFmtId="41" fontId="30" fillId="8" borderId="43" xfId="0" applyNumberFormat="1" applyFont="1" applyFill="1" applyBorder="1" applyAlignment="1" applyProtection="1">
      <alignment horizontal="center" vertical="center"/>
      <protection locked="0"/>
    </xf>
    <xf numFmtId="41" fontId="30" fillId="18" borderId="42" xfId="0" applyNumberFormat="1" applyFont="1" applyFill="1" applyBorder="1" applyAlignment="1" applyProtection="1">
      <alignment horizontal="center" vertical="center"/>
      <protection locked="0"/>
    </xf>
    <xf numFmtId="41" fontId="34" fillId="14" borderId="42" xfId="0" applyNumberFormat="1" applyFont="1" applyFill="1" applyBorder="1" applyAlignment="1" applyProtection="1">
      <alignment horizontal="center" vertical="center"/>
      <protection locked="0"/>
    </xf>
    <xf numFmtId="41" fontId="30" fillId="15" borderId="38" xfId="0" applyNumberFormat="1" applyFont="1" applyFill="1" applyBorder="1" applyAlignment="1" applyProtection="1">
      <alignment horizontal="center" vertical="center"/>
      <protection locked="0"/>
    </xf>
    <xf numFmtId="41" fontId="30" fillId="15" borderId="43" xfId="0" applyNumberFormat="1" applyFont="1" applyFill="1" applyBorder="1" applyAlignment="1" applyProtection="1">
      <alignment horizontal="center" vertical="center"/>
      <protection locked="0"/>
    </xf>
    <xf numFmtId="41" fontId="34" fillId="14" borderId="38" xfId="0" applyNumberFormat="1" applyFont="1" applyFill="1" applyBorder="1" applyAlignment="1" applyProtection="1">
      <alignment horizontal="center" vertical="center"/>
      <protection locked="0"/>
    </xf>
    <xf numFmtId="0" fontId="30" fillId="0" borderId="51" xfId="0" applyFont="1" applyBorder="1" applyAlignment="1" applyProtection="1">
      <alignment horizontal="center" vertical="center"/>
      <protection locked="0"/>
    </xf>
    <xf numFmtId="0" fontId="30" fillId="0" borderId="52" xfId="0" applyFont="1" applyBorder="1" applyAlignment="1" applyProtection="1">
      <alignment horizontal="center" vertical="center"/>
      <protection locked="0"/>
    </xf>
    <xf numFmtId="0" fontId="30" fillId="0" borderId="50" xfId="0" applyFont="1" applyBorder="1" applyAlignment="1" applyProtection="1">
      <alignment horizontal="center" vertical="center"/>
      <protection locked="0"/>
    </xf>
    <xf numFmtId="41" fontId="30" fillId="0" borderId="53" xfId="0" applyNumberFormat="1" applyFont="1" applyBorder="1" applyAlignment="1" applyProtection="1">
      <alignment horizontal="center" vertical="center"/>
      <protection locked="0"/>
    </xf>
    <xf numFmtId="41" fontId="30" fillId="0" borderId="54" xfId="0" applyNumberFormat="1" applyFont="1" applyBorder="1" applyAlignment="1" applyProtection="1">
      <alignment horizontal="center" vertical="center"/>
      <protection locked="0"/>
    </xf>
    <xf numFmtId="41" fontId="30" fillId="0" borderId="55" xfId="0" applyNumberFormat="1" applyFont="1" applyBorder="1" applyAlignment="1" applyProtection="1">
      <alignment horizontal="center" vertical="center"/>
      <protection locked="0"/>
    </xf>
    <xf numFmtId="41" fontId="30" fillId="13" borderId="47" xfId="0" applyNumberFormat="1" applyFont="1" applyFill="1" applyBorder="1" applyAlignment="1" applyProtection="1">
      <alignment horizontal="center" vertical="center"/>
      <protection hidden="1"/>
    </xf>
    <xf numFmtId="41" fontId="30" fillId="13" borderId="28" xfId="0" applyNumberFormat="1" applyFont="1" applyFill="1" applyBorder="1" applyAlignment="1" applyProtection="1">
      <alignment horizontal="center" vertical="center"/>
      <protection hidden="1"/>
    </xf>
    <xf numFmtId="41" fontId="30" fillId="13" borderId="56" xfId="0" applyNumberFormat="1" applyFont="1" applyFill="1" applyBorder="1" applyAlignment="1" applyProtection="1">
      <alignment horizontal="center" vertical="center"/>
      <protection hidden="1"/>
    </xf>
    <xf numFmtId="41" fontId="30" fillId="8" borderId="38" xfId="0" applyNumberFormat="1" applyFont="1" applyFill="1" applyBorder="1" applyAlignment="1" applyProtection="1">
      <alignment horizontal="center" vertical="center"/>
      <protection locked="0"/>
    </xf>
    <xf numFmtId="41" fontId="30" fillId="10" borderId="54" xfId="0" applyNumberFormat="1" applyFont="1" applyFill="1" applyBorder="1" applyAlignment="1" applyProtection="1">
      <alignment horizontal="center" vertical="center"/>
      <protection locked="0"/>
    </xf>
    <xf numFmtId="41" fontId="30" fillId="10" borderId="43" xfId="0" applyNumberFormat="1" applyFont="1" applyFill="1" applyBorder="1" applyAlignment="1" applyProtection="1">
      <alignment horizontal="center" vertical="center"/>
      <protection locked="0"/>
    </xf>
    <xf numFmtId="41" fontId="30" fillId="19" borderId="38" xfId="0" applyNumberFormat="1" applyFont="1" applyFill="1" applyBorder="1" applyAlignment="1" applyProtection="1">
      <alignment horizontal="center" vertical="center"/>
      <protection locked="0"/>
    </xf>
    <xf numFmtId="41" fontId="30" fillId="14" borderId="54" xfId="0" applyNumberFormat="1" applyFont="1" applyFill="1" applyBorder="1" applyAlignment="1" applyProtection="1">
      <alignment horizontal="center" vertical="center"/>
      <protection locked="0"/>
    </xf>
    <xf numFmtId="41" fontId="30" fillId="19" borderId="42" xfId="0" applyNumberFormat="1" applyFont="1" applyFill="1" applyBorder="1" applyAlignment="1" applyProtection="1">
      <alignment horizontal="center" vertical="center"/>
      <protection locked="0"/>
    </xf>
    <xf numFmtId="41" fontId="30" fillId="20" borderId="38" xfId="0" applyNumberFormat="1" applyFont="1" applyFill="1" applyBorder="1" applyAlignment="1" applyProtection="1">
      <alignment horizontal="center" vertical="center"/>
      <protection locked="0"/>
    </xf>
    <xf numFmtId="41" fontId="30" fillId="20" borderId="42" xfId="0" applyNumberFormat="1" applyFont="1" applyFill="1" applyBorder="1" applyAlignment="1" applyProtection="1">
      <alignment horizontal="center" vertical="center"/>
      <protection locked="0"/>
    </xf>
    <xf numFmtId="41" fontId="30" fillId="15" borderId="54" xfId="0" applyNumberFormat="1" applyFont="1" applyFill="1" applyBorder="1" applyAlignment="1" applyProtection="1">
      <alignment horizontal="center" vertical="center"/>
      <protection locked="0"/>
    </xf>
    <xf numFmtId="41" fontId="30" fillId="9" borderId="53" xfId="0" applyNumberFormat="1" applyFont="1" applyFill="1" applyBorder="1" applyAlignment="1" applyProtection="1">
      <alignment horizontal="center" vertical="center"/>
      <protection locked="0"/>
    </xf>
    <xf numFmtId="41" fontId="30" fillId="9" borderId="54" xfId="0" applyNumberFormat="1" applyFont="1" applyFill="1" applyBorder="1" applyAlignment="1" applyProtection="1">
      <alignment horizontal="center" vertical="center"/>
      <protection locked="0"/>
    </xf>
    <xf numFmtId="41" fontId="30" fillId="0" borderId="48" xfId="0" applyNumberFormat="1" applyFont="1" applyBorder="1" applyAlignment="1" applyProtection="1">
      <alignment horizontal="center" vertical="center"/>
      <protection hidden="1"/>
    </xf>
    <xf numFmtId="41" fontId="30" fillId="0" borderId="47" xfId="0" applyNumberFormat="1" applyFont="1" applyBorder="1" applyAlignment="1" applyProtection="1">
      <alignment horizontal="center" vertical="center"/>
      <protection hidden="1"/>
    </xf>
    <xf numFmtId="41" fontId="30" fillId="0" borderId="28" xfId="0" applyNumberFormat="1" applyFont="1" applyBorder="1" applyAlignment="1" applyProtection="1">
      <alignment horizontal="center" vertical="center"/>
      <protection hidden="1"/>
    </xf>
    <xf numFmtId="41" fontId="30" fillId="0" borderId="50" xfId="0" applyNumberFormat="1" applyFont="1" applyBorder="1" applyAlignment="1" applyProtection="1">
      <alignment horizontal="center" vertical="center"/>
      <protection hidden="1"/>
    </xf>
    <xf numFmtId="41" fontId="30" fillId="0" borderId="56" xfId="0" applyNumberFormat="1" applyFont="1" applyBorder="1" applyAlignment="1" applyProtection="1">
      <alignment horizontal="center" vertical="center"/>
      <protection hidden="1"/>
    </xf>
    <xf numFmtId="41" fontId="30" fillId="13" borderId="23" xfId="0" applyNumberFormat="1" applyFont="1" applyFill="1" applyBorder="1" applyAlignment="1" applyProtection="1">
      <alignment horizontal="center" vertical="center"/>
      <protection hidden="1"/>
    </xf>
    <xf numFmtId="41" fontId="30" fillId="13" borderId="30" xfId="0" applyNumberFormat="1" applyFont="1" applyFill="1" applyBorder="1" applyAlignment="1" applyProtection="1">
      <alignment horizontal="center" vertical="center"/>
      <protection hidden="1"/>
    </xf>
    <xf numFmtId="0" fontId="30" fillId="0" borderId="21" xfId="0" applyFont="1" applyBorder="1" applyAlignment="1" applyProtection="1">
      <alignment horizontal="center" vertical="center"/>
      <protection locked="0"/>
    </xf>
    <xf numFmtId="0" fontId="30" fillId="0" borderId="29" xfId="0" applyFont="1" applyBorder="1" applyAlignment="1" applyProtection="1">
      <alignment horizontal="center" vertical="center"/>
      <protection locked="0"/>
    </xf>
    <xf numFmtId="0" fontId="30" fillId="0" borderId="22" xfId="0" applyFont="1" applyBorder="1" applyAlignment="1" applyProtection="1">
      <alignment horizontal="center" vertical="center" wrapText="1"/>
      <protection locked="0"/>
    </xf>
    <xf numFmtId="0" fontId="30" fillId="0" borderId="7" xfId="0" applyFont="1" applyBorder="1" applyAlignment="1" applyProtection="1">
      <alignment horizontal="center" vertical="center"/>
      <protection locked="0"/>
    </xf>
    <xf numFmtId="0" fontId="30" fillId="0" borderId="23" xfId="0" applyFont="1" applyBorder="1" applyAlignment="1" applyProtection="1">
      <alignment horizontal="center" vertical="center" wrapText="1"/>
      <protection locked="0"/>
    </xf>
    <xf numFmtId="0" fontId="30" fillId="0" borderId="30" xfId="0" applyFont="1" applyBorder="1" applyAlignment="1" applyProtection="1">
      <alignment horizontal="center" vertical="center"/>
      <protection locked="0"/>
    </xf>
    <xf numFmtId="0" fontId="30" fillId="0" borderId="24" xfId="0" applyFont="1" applyBorder="1" applyAlignment="1" applyProtection="1">
      <alignment horizontal="center" vertical="center" wrapText="1"/>
      <protection locked="0"/>
    </xf>
    <xf numFmtId="0" fontId="30" fillId="0" borderId="31" xfId="0" applyFont="1" applyBorder="1" applyAlignment="1" applyProtection="1">
      <alignment horizontal="center" vertical="center"/>
      <protection locked="0"/>
    </xf>
    <xf numFmtId="0" fontId="30" fillId="0" borderId="25" xfId="0" applyFont="1" applyBorder="1" applyAlignment="1" applyProtection="1">
      <alignment horizontal="center" vertical="center" wrapText="1"/>
      <protection locked="0"/>
    </xf>
    <xf numFmtId="0" fontId="30" fillId="0" borderId="32" xfId="0" applyFont="1" applyBorder="1" applyAlignment="1" applyProtection="1">
      <alignment horizontal="center" vertical="center"/>
      <protection locked="0"/>
    </xf>
    <xf numFmtId="0" fontId="30" fillId="13" borderId="22" xfId="0" applyFont="1" applyFill="1" applyBorder="1" applyAlignment="1" applyProtection="1">
      <alignment horizontal="center" vertical="center"/>
      <protection locked="0"/>
    </xf>
    <xf numFmtId="0" fontId="30" fillId="13" borderId="47" xfId="0" applyFont="1" applyFill="1" applyBorder="1" applyAlignment="1" applyProtection="1">
      <alignment horizontal="center" vertical="center"/>
      <protection locked="0"/>
    </xf>
    <xf numFmtId="0" fontId="30" fillId="13" borderId="25" xfId="0" applyFont="1" applyFill="1" applyBorder="1" applyAlignment="1" applyProtection="1">
      <alignment horizontal="center" vertical="center"/>
      <protection locked="0"/>
    </xf>
    <xf numFmtId="0" fontId="30" fillId="13" borderId="7" xfId="0" applyFont="1" applyFill="1" applyBorder="1" applyAlignment="1" applyProtection="1">
      <alignment horizontal="center" vertical="center"/>
      <protection locked="0"/>
    </xf>
    <xf numFmtId="0" fontId="30" fillId="13" borderId="49" xfId="0" applyFont="1" applyFill="1" applyBorder="1" applyAlignment="1" applyProtection="1">
      <alignment horizontal="center" vertical="center"/>
      <protection locked="0"/>
    </xf>
    <xf numFmtId="0" fontId="30" fillId="13" borderId="32" xfId="0" applyFont="1" applyFill="1" applyBorder="1" applyAlignment="1" applyProtection="1">
      <alignment horizontal="center" vertical="center"/>
      <protection locked="0"/>
    </xf>
    <xf numFmtId="41" fontId="30" fillId="13" borderId="24" xfId="0" applyNumberFormat="1" applyFont="1" applyFill="1" applyBorder="1" applyAlignment="1" applyProtection="1">
      <alignment horizontal="center" vertical="center"/>
      <protection hidden="1"/>
    </xf>
    <xf numFmtId="41" fontId="30" fillId="13" borderId="31" xfId="0" applyNumberFormat="1" applyFont="1" applyFill="1" applyBorder="1" applyAlignment="1" applyProtection="1">
      <alignment horizontal="center" vertical="center"/>
      <protection hidden="1"/>
    </xf>
    <xf numFmtId="0" fontId="20" fillId="10" borderId="12" xfId="4" applyFont="1" applyFill="1" applyBorder="1" applyAlignment="1">
      <alignment horizontal="center"/>
    </xf>
    <xf numFmtId="0" fontId="20" fillId="10" borderId="14" xfId="4" applyFont="1" applyFill="1" applyBorder="1" applyAlignment="1">
      <alignment horizontal="center"/>
    </xf>
    <xf numFmtId="0" fontId="21" fillId="0" borderId="13" xfId="4" applyFont="1" applyBorder="1" applyAlignment="1">
      <alignment horizontal="center" vertical="center" wrapText="1"/>
    </xf>
    <xf numFmtId="0" fontId="21" fillId="0" borderId="15" xfId="4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0" fillId="9" borderId="12" xfId="4" applyFont="1" applyFill="1" applyBorder="1" applyAlignment="1">
      <alignment horizontal="center"/>
    </xf>
    <xf numFmtId="0" fontId="20" fillId="9" borderId="14" xfId="4" applyFont="1" applyFill="1" applyBorder="1" applyAlignment="1">
      <alignment horizontal="center"/>
    </xf>
    <xf numFmtId="0" fontId="20" fillId="7" borderId="12" xfId="4" applyFont="1" applyFill="1" applyBorder="1" applyAlignment="1">
      <alignment horizontal="center"/>
    </xf>
    <xf numFmtId="0" fontId="20" fillId="7" borderId="14" xfId="4" applyFont="1" applyFill="1" applyBorder="1" applyAlignment="1">
      <alignment horizontal="center"/>
    </xf>
    <xf numFmtId="0" fontId="20" fillId="8" borderId="12" xfId="4" applyFont="1" applyFill="1" applyBorder="1" applyAlignment="1">
      <alignment horizontal="center"/>
    </xf>
    <xf numFmtId="0" fontId="20" fillId="8" borderId="14" xfId="4" applyFont="1" applyFill="1" applyBorder="1" applyAlignment="1">
      <alignment horizontal="center"/>
    </xf>
    <xf numFmtId="0" fontId="24" fillId="0" borderId="0" xfId="0" applyFont="1" applyAlignment="1" applyProtection="1">
      <alignment horizontal="left" vertical="center"/>
      <protection locked="0"/>
    </xf>
    <xf numFmtId="0" fontId="35" fillId="0" borderId="0" xfId="0" applyFont="1" applyAlignment="1" applyProtection="1">
      <alignment horizontal="left" vertical="center"/>
      <protection locked="0"/>
    </xf>
    <xf numFmtId="0" fontId="12" fillId="10" borderId="12" xfId="4" applyFill="1" applyBorder="1" applyAlignment="1">
      <alignment horizontal="center"/>
    </xf>
    <xf numFmtId="0" fontId="12" fillId="10" borderId="14" xfId="4" applyFill="1" applyBorder="1" applyAlignment="1">
      <alignment horizontal="center"/>
    </xf>
    <xf numFmtId="0" fontId="13" fillId="0" borderId="13" xfId="4" applyFont="1" applyBorder="1" applyAlignment="1">
      <alignment horizontal="center" vertical="center" wrapText="1"/>
    </xf>
    <xf numFmtId="0" fontId="13" fillId="0" borderId="15" xfId="4" applyFont="1" applyBorder="1" applyAlignment="1">
      <alignment horizontal="center" vertical="center" wrapText="1"/>
    </xf>
    <xf numFmtId="0" fontId="12" fillId="9" borderId="12" xfId="4" applyFill="1" applyBorder="1" applyAlignment="1">
      <alignment horizontal="center"/>
    </xf>
    <xf numFmtId="0" fontId="12" fillId="9" borderId="14" xfId="4" applyFill="1" applyBorder="1" applyAlignment="1">
      <alignment horizontal="center"/>
    </xf>
    <xf numFmtId="0" fontId="12" fillId="7" borderId="12" xfId="4" applyFill="1" applyBorder="1" applyAlignment="1">
      <alignment horizontal="center"/>
    </xf>
    <xf numFmtId="0" fontId="12" fillId="7" borderId="14" xfId="4" applyFill="1" applyBorder="1" applyAlignment="1">
      <alignment horizontal="center"/>
    </xf>
    <xf numFmtId="0" fontId="12" fillId="8" borderId="12" xfId="4" applyFill="1" applyBorder="1" applyAlignment="1">
      <alignment horizontal="center"/>
    </xf>
    <xf numFmtId="0" fontId="12" fillId="8" borderId="14" xfId="4" applyFill="1" applyBorder="1" applyAlignment="1">
      <alignment horizontal="center"/>
    </xf>
  </cellXfs>
  <cellStyles count="8">
    <cellStyle name="쉼표 [0]" xfId="1" builtinId="6"/>
    <cellStyle name="쉼표 [0] 2" xfId="3" xr:uid="{00000000-0005-0000-0000-000001000000}"/>
    <cellStyle name="쉼표 [0] 3" xfId="5" xr:uid="{00000000-0005-0000-0000-000002000000}"/>
    <cellStyle name="쉼표 [0] 4" xfId="6" xr:uid="{00000000-0005-0000-0000-000003000000}"/>
    <cellStyle name="쉼표 [0] 5" xfId="7" xr:uid="{00000000-0005-0000-0000-000004000000}"/>
    <cellStyle name="표준" xfId="0" builtinId="0"/>
    <cellStyle name="표준 2" xfId="4" xr:uid="{00000000-0005-0000-0000-000006000000}"/>
    <cellStyle name="표준_PJ" xfId="2" xr:uid="{00000000-0005-0000-0000-000007000000}"/>
  </cellStyles>
  <dxfs count="0"/>
  <tableStyles count="0" defaultTableStyle="TableStyleMedium2" defaultPivotStyle="PivotStyleLight16"/>
  <colors>
    <mruColors>
      <color rgb="FFFF3300"/>
      <color rgb="FFD09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lla JANG" id="{963B5B1D-70DE-4450-A19C-7412D29AC70D}" userId="S::Bella.JANG@ennismore.com::4db36fd6-acbd-4c75-8c5e-bc885bce33a5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4" dT="2026-04-01T11:15:35.23" personId="{963B5B1D-70DE-4450-A19C-7412D29AC70D}" id="{51162858-5615-402F-8444-BE9E9EE2EF85}">
    <text>미니바 제거 객실</text>
  </threadedComment>
  <threadedComment ref="W4" dT="2026-04-01T11:24:07.50" personId="{963B5B1D-70DE-4450-A19C-7412D29AC70D}" id="{43A89F2B-F801-4A1B-B615-1A0DE8F7F2DE}">
    <text>팀즈 기록 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" dT="2026-04-02T10:05:46.89" personId="{963B5B1D-70DE-4450-A19C-7412D29AC70D}" id="{4A8B110D-7BDE-4930-96E9-25E2AC0E48AB}">
    <text>팀즈 미니바 기재 x</text>
  </threadedComment>
  <threadedComment ref="I4" dT="2026-04-02T10:05:34.79" personId="{963B5B1D-70DE-4450-A19C-7412D29AC70D}" id="{12D02881-1FB3-4023-A2F8-10A1F5BA8639}">
    <text>팀즈 미니바 기재x</text>
  </threadedComment>
  <threadedComment ref="O4" dT="2026-04-02T10:15:31.84" personId="{963B5B1D-70DE-4450-A19C-7412D29AC70D}" id="{A3B88BC4-D432-49E1-855E-0C830F1B0757}">
    <text>팀즈 기록 x</text>
  </threadedComment>
  <threadedComment ref="Q4" dT="2026-04-02T10:16:42.79" personId="{963B5B1D-70DE-4450-A19C-7412D29AC70D}" id="{C1E3FA56-BEC7-4ABA-9B25-BE118E54AD4A}">
    <text>팀즈 기록 x</text>
  </threadedComment>
  <threadedComment ref="W4" dT="2026-04-02T10:24:59.85" personId="{963B5B1D-70DE-4450-A19C-7412D29AC70D}" id="{95CE082B-8CEE-413A-820E-8D0679BE3A8E}">
    <text>팀즈 미니바 기재 x</text>
  </threadedComment>
  <threadedComment ref="X4" dT="2026-04-02T10:25:17.49" personId="{963B5B1D-70DE-4450-A19C-7412D29AC70D}" id="{370AF169-0C37-4FBF-A501-C0B6552B7A5E}">
    <text>팀즈 미니바 기재 x</text>
  </threadedComment>
  <threadedComment ref="Y4" dT="2026-04-02T10:28:27.84" personId="{963B5B1D-70DE-4450-A19C-7412D29AC70D}" id="{8AF9156C-CE10-416D-A09F-6E05ED9390FD}">
    <text>제일 최근 투숙 객실이 #465431274(3/17-24)으로 미송부</text>
  </threadedComment>
  <threadedComment ref="Z4" dT="2026-04-02T10:25:54.42" personId="{963B5B1D-70DE-4450-A19C-7412D29AC70D}" id="{824C1F03-2F4D-43BE-AF33-5856BA4B3585}">
    <text>팀즈 미니바 기재 x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4" dT="2026-04-03T11:26:43.64" personId="{963B5B1D-70DE-4450-A19C-7412D29AC70D}" id="{77168DD3-AA28-4D85-843C-822DF7FF0834}">
    <text>팀즈 미니바 x</text>
  </threadedComment>
  <threadedComment ref="T4" dT="2026-04-03T11:29:54.69" personId="{963B5B1D-70DE-4450-A19C-7412D29AC70D}" id="{FC6077A3-C67A-49CC-A9FA-E50709DC67CA}">
    <text>팀즈 기록 x</text>
  </threadedComment>
  <threadedComment ref="X4" dT="2026-04-03T11:33:21.00" personId="{963B5B1D-70DE-4450-A19C-7412D29AC70D}" id="{858544C5-B976-43F6-BF67-6022BB1280EB}">
    <text>8개 셋업만 하신 건이라 포스팅 따로 하지 않음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9" dT="2026-04-05T09:42:32.97" personId="{963B5B1D-70DE-4450-A19C-7412D29AC70D}" id="{7863A643-850D-463D-929D-2E0B453260CD}">
    <text>예비 총지배인님 콤프 건</text>
  </threadedComment>
  <threadedComment ref="X11" dT="2026-04-05T10:02:37.66" personId="{963B5B1D-70DE-4450-A19C-7412D29AC70D}" id="{5477774E-A088-4EA5-97B5-B861F51F999D}">
    <text>포시즌스 투어 리더 객실 (이메일 없음)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P8" dT="2026-04-07T09:46:20.60" personId="{963B5B1D-70DE-4450-A19C-7412D29AC70D}" id="{953AA821-B4A5-4C01-A582-7497232A2347}">
    <text>1018 -&gt; 1801 RMV 인하우스 1801 포스팅 완료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J4" dT="2026-04-11T00:14:40.56" personId="{963B5B1D-70DE-4450-A19C-7412D29AC70D}" id="{761B6163-7771-4550-BBC9-B0BC97EF8F78}">
    <text>4/14 CO</text>
  </threadedComment>
  <threadedComment ref="M4" dT="2026-04-11T00:17:32.89" personId="{963B5B1D-70DE-4450-A19C-7412D29AC70D}" id="{604394D4-D08D-4131-A362-0F39173FDD94}">
    <text>4/12 CO</text>
  </threadedComment>
  <threadedComment ref="P4" dT="2026-04-11T00:15:59.06" personId="{963B5B1D-70DE-4450-A19C-7412D29AC70D}" id="{54FBF838-22D8-4C04-8180-53D9549DFC6F}">
    <text>아시아 월드 그룹 이메일 없음</text>
  </threadedComment>
  <threadedComment ref="S4" dT="2026-04-11T00:21:11.31" personId="{963B5B1D-70DE-4450-A19C-7412D29AC70D}" id="{0D1ED41D-D5DE-4534-AFE3-558405191ED2}">
    <text>4/11 CO</text>
  </threadedComment>
  <threadedComment ref="T4" dT="2026-04-11T00:21:38.05" personId="{963B5B1D-70DE-4450-A19C-7412D29AC70D}" id="{0DCCD8EC-F37D-4A0A-8564-54638ABF41DD}">
    <text>4/11 CO</text>
  </threadedComment>
  <threadedComment ref="U4" dT="2026-04-11T00:21:59.84" personId="{963B5B1D-70DE-4450-A19C-7412D29AC70D}" id="{83044767-0DC4-455C-B8D4-2E3A4530007D}">
    <text>4/12 CO</text>
  </threadedComment>
  <threadedComment ref="W4" dT="2026-04-11T00:22:33.21" personId="{963B5B1D-70DE-4450-A19C-7412D29AC70D}" id="{3EDB7A08-9F1C-4036-80E6-FFC8FC47188F}">
    <text>4/16 CO</text>
  </threadedComment>
  <threadedComment ref="Y4" dT="2026-04-11T00:23:32.20" personId="{963B5B1D-70DE-4450-A19C-7412D29AC70D}" id="{E050E9E0-4FD8-4F88-93CF-F021CF12F286}">
    <text>4/13 CO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B9" dT="2026-04-11T10:23:02.36" personId="{963B5B1D-70DE-4450-A19C-7412D29AC70D}" id="{AC9B99A2-478C-47A4-A2AC-238BE2FA40E8}">
    <text>한미제약 이메일 주소 및 전화번호 없음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J6" dT="2026-04-12T10:54:03.95" personId="{963B5B1D-70DE-4450-A19C-7412D29AC70D}" id="{1AC86AF4-25C0-4EEA-8901-3BBAAE8DD0AB}">
    <text>종근당 제약 객실이라서 메일 송부 X</text>
  </threadedComment>
  <threadedComment ref="L7" dT="2026-04-12T10:59:05.93" personId="{963B5B1D-70DE-4450-A19C-7412D29AC70D}" id="{27E9676D-2DD5-47D9-AB77-FD2D93FDC9E7}">
    <text>종근당 제약 객실이라서 메일 송부 X</text>
  </threadedComment>
  <threadedComment ref="K14" dT="2026-04-12T10:54:31.44" personId="{963B5B1D-70DE-4450-A19C-7412D29AC70D}" id="{65C8596F-9854-4E7D-A55F-6AA29E84E5B7}">
    <text>종근당 제약 객실이라서 메일 송부 X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B5" dT="2026-04-14T09:28:31.52" personId="{963B5B1D-70DE-4450-A19C-7412D29AC70D}" id="{B34C9250-74F9-4499-A35D-5C8DAE98E4A7}">
    <text xml:space="preserve">부회장님 지인객실
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4" dT="2026-04-17T10:13:52.30" personId="{963B5B1D-70DE-4450-A19C-7412D29AC70D}" id="{D2D328FD-9BEC-4C2E-BDB0-47A282653E64}">
    <text xml:space="preserve">팀즈 내역 x </text>
  </threadedComment>
  <threadedComment ref="K4" dT="2026-04-17T10:17:42.69" personId="{963B5B1D-70DE-4450-A19C-7412D29AC70D}" id="{D1A4E2FB-6838-4FEB-B0A2-94BAD98CCB82}">
    <text>미니바 팀즈 내역 x</text>
  </threadedComment>
  <threadedComment ref="M4" dT="2026-04-17T10:18:15.60" personId="{963B5B1D-70DE-4450-A19C-7412D29AC70D}" id="{9261A706-E9A4-4F98-ACE8-AA7248804CF8}">
    <text>미니바 팀즈 내역 x</text>
  </threadedComment>
  <threadedComment ref="P4" dT="2026-04-17T10:26:04.22" personId="{963B5B1D-70DE-4450-A19C-7412D29AC70D}" id="{81BBA833-78B3-4487-8744-85CC2C8FF27F}">
    <text xml:space="preserve">미니바 팀즈 내역 X </text>
  </threadedComment>
  <threadedComment ref="Q4" dT="2026-04-17T10:26:41.34" personId="{963B5B1D-70DE-4450-A19C-7412D29AC70D}" id="{1EEAEC4E-AC8C-4D4A-8E06-9207191E8C73}">
    <text xml:space="preserve">미니바 팀즈 내역 X 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G4" dT="2026-04-18T09:42:30.25" personId="{963B5B1D-70DE-4450-A19C-7412D29AC70D}" id="{AA87EC9D-2576-4953-8D28-608DE46E9328}">
    <text xml:space="preserve">미니바 팀즈 내역 x </text>
  </threadedComment>
  <threadedComment ref="Q4" dT="2026-04-18T10:12:15.73" personId="{963B5B1D-70DE-4450-A19C-7412D29AC70D}" id="{4CF3D1C1-DD9E-4FA6-8BCD-105BA9593CBC}">
    <text xml:space="preserve">미니바 팀즈 기재 x 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I4" dT="2026-04-19T10:46:04.25" personId="{963B5B1D-70DE-4450-A19C-7412D29AC70D}" id="{13BD5C54-B025-4D8B-89F5-980FF8EB9E9B}">
    <text>에비앙 관련 이슈 객실 변제</text>
  </threadedComment>
  <threadedComment ref="J4" dT="2026-04-19T11:13:01.53" personId="{963B5B1D-70DE-4450-A19C-7412D29AC70D}" id="{14F02601-5004-4C46-A2AA-4D87AE829DD7}">
    <text>아시아 월드 투어 그룹 발송 불가..</text>
  </threadedComment>
  <threadedComment ref="V4" dT="2026-04-19T10:51:54.73" personId="{963B5B1D-70DE-4450-A19C-7412D29AC70D}" id="{F7674AA9-EDD8-4444-A57A-F4B7347D02B5}">
    <text>여러 이슈 발생 객실료 변제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M4" dT="2026-04-26T12:04:34.11" personId="{963B5B1D-70DE-4450-A19C-7412D29AC70D}" id="{A313B536-B6F4-4EF5-B8E1-FDA926E99D1A}">
    <text>삼진제약 그룹 객실로 빌링 송부 못함</text>
  </threadedComment>
  <threadedComment ref="Y5" dT="2026-04-26T12:05:46.20" personId="{963B5B1D-70DE-4450-A19C-7412D29AC70D}" id="{3D354592-9D71-48E6-88A9-F65B6840EA57}">
    <text>삼진제약 그룹 객실로 빌링 송부 못함</text>
  </threadedComment>
  <threadedComment ref="AD5" dT="2026-04-26T12:10:58.76" personId="{963B5B1D-70DE-4450-A19C-7412D29AC70D}" id="{6FF09B43-6FA2-4D99-89AF-ACBABF26923A}">
    <text xml:space="preserve">삼진제약 그룹 객실로 빌링 송부 못함
</text>
  </threadedComment>
  <threadedComment ref="L9" dT="2026-04-26T12:03:20.49" personId="{963B5B1D-70DE-4450-A19C-7412D29AC70D}" id="{CA601766-9C6C-44B0-8AD9-EC5033789870}">
    <text>삼진제약 그룹 객실로 빌링 송부 못함</text>
  </threadedComment>
  <threadedComment ref="AA11" dT="2026-04-26T12:07:23.12" personId="{963B5B1D-70DE-4450-A19C-7412D29AC70D}" id="{B9AE8B20-F3C8-494F-B438-346B4ABAFE04}">
    <text xml:space="preserve">삼진제약 그룹 객실로 빌링 송부 못함
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Z4" dT="2026-04-28T09:31:59.49" personId="{963B5B1D-70DE-4450-A19C-7412D29AC70D}" id="{FE442BB6-6AAE-4E2E-97D0-B6FBA39A1047}">
    <text>#715-&gt;#1518 룸무브 객실로 1518에 포스팅함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B1" sqref="B1:B2"/>
    </sheetView>
  </sheetViews>
  <sheetFormatPr defaultRowHeight="16.5" x14ac:dyDescent="0.3"/>
  <sheetData>
    <row r="1" spans="1:4" x14ac:dyDescent="0.3">
      <c r="A1" s="174"/>
      <c r="B1" s="163" t="s">
        <v>30</v>
      </c>
      <c r="C1" s="60"/>
      <c r="D1" s="60"/>
    </row>
    <row r="2" spans="1:4" ht="17.25" thickBot="1" x14ac:dyDescent="0.35">
      <c r="A2" s="175"/>
      <c r="B2" s="164"/>
      <c r="C2" s="60"/>
      <c r="D2" s="60"/>
    </row>
    <row r="3" spans="1:4" x14ac:dyDescent="0.3">
      <c r="A3" s="176"/>
      <c r="B3" s="163" t="s">
        <v>31</v>
      </c>
      <c r="C3" s="60"/>
      <c r="D3" s="60"/>
    </row>
    <row r="4" spans="1:4" ht="17.25" thickBot="1" x14ac:dyDescent="0.35">
      <c r="A4" s="177"/>
      <c r="B4" s="164"/>
      <c r="C4" s="60"/>
      <c r="D4" s="60"/>
    </row>
    <row r="5" spans="1:4" x14ac:dyDescent="0.3">
      <c r="A5" s="178"/>
      <c r="B5" s="163" t="s">
        <v>15</v>
      </c>
      <c r="C5" s="60"/>
      <c r="D5" s="60"/>
    </row>
    <row r="6" spans="1:4" ht="17.25" thickBot="1" x14ac:dyDescent="0.35">
      <c r="A6" s="179"/>
      <c r="B6" s="164"/>
      <c r="C6" s="60"/>
      <c r="D6" s="60"/>
    </row>
    <row r="7" spans="1:4" x14ac:dyDescent="0.3">
      <c r="A7" s="161"/>
      <c r="B7" s="163" t="s">
        <v>32</v>
      </c>
      <c r="C7" s="60"/>
      <c r="D7" s="60"/>
    </row>
    <row r="8" spans="1:4" ht="17.25" thickBot="1" x14ac:dyDescent="0.35">
      <c r="A8" s="162"/>
      <c r="B8" s="164"/>
      <c r="C8" s="60"/>
      <c r="D8" s="60"/>
    </row>
    <row r="9" spans="1:4" x14ac:dyDescent="0.3">
      <c r="A9" s="165" t="s">
        <v>33</v>
      </c>
      <c r="B9" s="166"/>
      <c r="C9" s="166"/>
      <c r="D9" s="167"/>
    </row>
    <row r="10" spans="1:4" x14ac:dyDescent="0.3">
      <c r="A10" s="168"/>
      <c r="B10" s="169"/>
      <c r="C10" s="169"/>
      <c r="D10" s="170"/>
    </row>
    <row r="11" spans="1:4" x14ac:dyDescent="0.3">
      <c r="A11" s="168"/>
      <c r="B11" s="169"/>
      <c r="C11" s="169"/>
      <c r="D11" s="170"/>
    </row>
    <row r="12" spans="1:4" x14ac:dyDescent="0.3">
      <c r="A12" s="168"/>
      <c r="B12" s="169"/>
      <c r="C12" s="169"/>
      <c r="D12" s="170"/>
    </row>
    <row r="13" spans="1:4" x14ac:dyDescent="0.3">
      <c r="A13" s="168"/>
      <c r="B13" s="169"/>
      <c r="C13" s="169"/>
      <c r="D13" s="170"/>
    </row>
    <row r="14" spans="1:4" ht="42.75" customHeight="1" thickBot="1" x14ac:dyDescent="0.35">
      <c r="A14" s="171"/>
      <c r="B14" s="172"/>
      <c r="C14" s="172"/>
      <c r="D14" s="173"/>
    </row>
    <row r="15" spans="1:4" ht="17.25" thickBot="1" x14ac:dyDescent="0.35">
      <c r="A15" s="61"/>
      <c r="B15" s="62" t="s">
        <v>18</v>
      </c>
      <c r="C15" s="62"/>
      <c r="D15" s="62"/>
    </row>
  </sheetData>
  <mergeCells count="9">
    <mergeCell ref="A7:A8"/>
    <mergeCell ref="B7:B8"/>
    <mergeCell ref="A9:D14"/>
    <mergeCell ref="A1:A2"/>
    <mergeCell ref="B1:B2"/>
    <mergeCell ref="A3:A4"/>
    <mergeCell ref="B3:B4"/>
    <mergeCell ref="A5:A6"/>
    <mergeCell ref="B5:B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C33E-BDDB-4BB5-8493-93766E11C129}">
  <dimension ref="A1:Y20"/>
  <sheetViews>
    <sheetView topLeftCell="O1" workbookViewId="0">
      <selection activeCell="X6" sqref="X6"/>
    </sheetView>
  </sheetViews>
  <sheetFormatPr defaultRowHeight="16.5" x14ac:dyDescent="0.3"/>
  <sheetData>
    <row r="1" spans="1:25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</row>
    <row r="2" spans="1:25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</row>
    <row r="3" spans="1:25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</row>
    <row r="4" spans="1:25" x14ac:dyDescent="0.3">
      <c r="A4" s="144"/>
      <c r="B4" s="146"/>
      <c r="C4" s="148"/>
      <c r="D4" s="150"/>
      <c r="E4" s="152"/>
      <c r="F4" s="69" t="s">
        <v>41</v>
      </c>
      <c r="G4" s="70">
        <v>1128</v>
      </c>
      <c r="H4" s="70">
        <v>1120</v>
      </c>
      <c r="I4" s="70">
        <v>914</v>
      </c>
      <c r="J4" s="70">
        <v>1717</v>
      </c>
      <c r="K4" s="70">
        <v>1429</v>
      </c>
      <c r="L4" s="70">
        <v>1220</v>
      </c>
      <c r="M4" s="70">
        <v>1215</v>
      </c>
      <c r="N4" s="70">
        <v>1101</v>
      </c>
      <c r="O4" s="70">
        <v>925</v>
      </c>
      <c r="P4" s="70">
        <v>1415</v>
      </c>
      <c r="Q4" s="70">
        <v>1419</v>
      </c>
      <c r="R4" s="70">
        <v>1024</v>
      </c>
      <c r="S4" s="70">
        <v>1029</v>
      </c>
      <c r="T4" s="70">
        <v>825</v>
      </c>
      <c r="U4" s="70">
        <v>510</v>
      </c>
      <c r="V4" s="70">
        <v>1225</v>
      </c>
      <c r="W4" s="70">
        <v>1631</v>
      </c>
      <c r="X4" s="70">
        <v>1125</v>
      </c>
      <c r="Y4" s="70">
        <v>1625</v>
      </c>
    </row>
    <row r="5" spans="1:25" ht="39.75" x14ac:dyDescent="0.3">
      <c r="A5" s="71" t="s">
        <v>42</v>
      </c>
      <c r="B5" s="72" t="s">
        <v>43</v>
      </c>
      <c r="C5" s="73"/>
      <c r="D5" s="74">
        <v>6000</v>
      </c>
      <c r="E5" s="75">
        <v>30000</v>
      </c>
      <c r="F5" s="76">
        <v>5</v>
      </c>
      <c r="G5" s="77"/>
      <c r="H5" s="77"/>
      <c r="I5" s="77"/>
      <c r="J5" s="94">
        <v>1</v>
      </c>
      <c r="K5" s="77"/>
      <c r="L5" s="77"/>
      <c r="M5" s="94">
        <v>1</v>
      </c>
      <c r="N5" s="77"/>
      <c r="O5" s="77"/>
      <c r="P5" s="94">
        <v>1</v>
      </c>
      <c r="Q5" s="77"/>
      <c r="R5" s="77"/>
      <c r="S5" s="77">
        <v>1</v>
      </c>
      <c r="T5" s="77"/>
      <c r="U5" s="77"/>
      <c r="V5" s="77"/>
      <c r="W5" s="77"/>
      <c r="X5" s="94">
        <v>1</v>
      </c>
      <c r="Y5" s="77"/>
    </row>
    <row r="6" spans="1:25" ht="39.75" x14ac:dyDescent="0.3">
      <c r="A6" s="78" t="s">
        <v>44</v>
      </c>
      <c r="B6" s="79" t="s">
        <v>45</v>
      </c>
      <c r="C6" s="80"/>
      <c r="D6" s="81">
        <v>6500</v>
      </c>
      <c r="E6" s="82">
        <v>26000</v>
      </c>
      <c r="F6" s="76">
        <v>4</v>
      </c>
      <c r="G6" s="83"/>
      <c r="H6" s="93">
        <v>1</v>
      </c>
      <c r="I6" s="83"/>
      <c r="J6" s="93">
        <v>1</v>
      </c>
      <c r="K6" s="83"/>
      <c r="L6" s="93">
        <v>1</v>
      </c>
      <c r="M6" s="83"/>
      <c r="N6" s="83"/>
      <c r="O6" s="83"/>
      <c r="P6" s="83"/>
      <c r="Q6" s="83"/>
      <c r="R6" s="93">
        <v>1</v>
      </c>
      <c r="S6" s="83"/>
      <c r="T6" s="83"/>
      <c r="U6" s="83"/>
      <c r="V6" s="83"/>
      <c r="W6" s="83"/>
      <c r="X6" s="83"/>
      <c r="Y6" s="83"/>
    </row>
    <row r="7" spans="1:25" ht="39.75" x14ac:dyDescent="0.3">
      <c r="A7" s="78" t="s">
        <v>46</v>
      </c>
      <c r="B7" s="79" t="s">
        <v>47</v>
      </c>
      <c r="C7" s="80" t="s">
        <v>43</v>
      </c>
      <c r="D7" s="81">
        <v>7000</v>
      </c>
      <c r="E7" s="82">
        <v>14000</v>
      </c>
      <c r="F7" s="76">
        <v>2</v>
      </c>
      <c r="G7" s="83"/>
      <c r="H7" s="83"/>
      <c r="I7" s="83"/>
      <c r="J7" s="93">
        <v>1</v>
      </c>
      <c r="K7" s="83"/>
      <c r="L7" s="93">
        <v>1</v>
      </c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 spans="1:25" ht="26.25" x14ac:dyDescent="0.3">
      <c r="A8" s="78" t="s">
        <v>48</v>
      </c>
      <c r="B8" s="79" t="s">
        <v>49</v>
      </c>
      <c r="C8" s="80"/>
      <c r="D8" s="81">
        <v>5500</v>
      </c>
      <c r="E8" s="82">
        <v>71500</v>
      </c>
      <c r="F8" s="76">
        <v>13</v>
      </c>
      <c r="G8" s="93">
        <v>1</v>
      </c>
      <c r="H8" s="83"/>
      <c r="I8" s="93">
        <v>1</v>
      </c>
      <c r="J8" s="83"/>
      <c r="K8" s="93">
        <v>2</v>
      </c>
      <c r="L8" s="83"/>
      <c r="M8" s="83"/>
      <c r="N8" s="95">
        <v>1</v>
      </c>
      <c r="O8" s="83"/>
      <c r="P8" s="83"/>
      <c r="Q8" s="96">
        <v>2</v>
      </c>
      <c r="R8" s="93">
        <v>1</v>
      </c>
      <c r="S8" s="83"/>
      <c r="T8" s="93">
        <v>1</v>
      </c>
      <c r="U8" s="93">
        <v>1</v>
      </c>
      <c r="V8" s="93">
        <v>2</v>
      </c>
      <c r="W8" s="83">
        <v>1</v>
      </c>
      <c r="X8" s="83"/>
      <c r="Y8" s="83"/>
    </row>
    <row r="9" spans="1:25" ht="26.25" x14ac:dyDescent="0.3">
      <c r="A9" s="78" t="s">
        <v>50</v>
      </c>
      <c r="B9" s="79" t="s">
        <v>51</v>
      </c>
      <c r="C9" s="80"/>
      <c r="D9" s="81">
        <v>4000</v>
      </c>
      <c r="E9" s="82">
        <v>4000</v>
      </c>
      <c r="F9" s="76">
        <v>1</v>
      </c>
      <c r="G9" s="83"/>
      <c r="H9" s="83"/>
      <c r="I9" s="83"/>
      <c r="J9" s="93">
        <v>1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</row>
    <row r="10" spans="1:25" ht="27" x14ac:dyDescent="0.3">
      <c r="A10" s="78" t="s">
        <v>52</v>
      </c>
      <c r="B10" s="79" t="s">
        <v>53</v>
      </c>
      <c r="C10" s="80"/>
      <c r="D10" s="81">
        <v>4000</v>
      </c>
      <c r="E10" s="82">
        <v>0</v>
      </c>
      <c r="F10" s="76">
        <v>0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</row>
    <row r="11" spans="1:25" ht="39" x14ac:dyDescent="0.3">
      <c r="A11" s="78" t="s">
        <v>54</v>
      </c>
      <c r="B11" s="79" t="s">
        <v>55</v>
      </c>
      <c r="C11" s="80"/>
      <c r="D11" s="81">
        <v>4000</v>
      </c>
      <c r="E11" s="82">
        <v>8000</v>
      </c>
      <c r="F11" s="76">
        <v>2</v>
      </c>
      <c r="G11" s="83"/>
      <c r="H11" s="83"/>
      <c r="I11" s="83"/>
      <c r="J11" s="83"/>
      <c r="K11" s="83"/>
      <c r="L11" s="83"/>
      <c r="M11" s="83"/>
      <c r="N11" s="83"/>
      <c r="O11" s="93">
        <v>1</v>
      </c>
      <c r="P11" s="93">
        <v>1</v>
      </c>
      <c r="Q11" s="83"/>
      <c r="R11" s="83"/>
      <c r="S11" s="83"/>
      <c r="T11" s="83"/>
      <c r="U11" s="83"/>
      <c r="V11" s="83"/>
      <c r="W11" s="83"/>
      <c r="X11" s="83"/>
      <c r="Y11" s="83"/>
    </row>
    <row r="12" spans="1:25" ht="26.25" x14ac:dyDescent="0.3">
      <c r="A12" s="78" t="s">
        <v>56</v>
      </c>
      <c r="B12" s="79" t="s">
        <v>53</v>
      </c>
      <c r="C12" s="80"/>
      <c r="D12" s="81">
        <v>5000</v>
      </c>
      <c r="E12" s="82">
        <v>5000</v>
      </c>
      <c r="F12" s="76">
        <v>1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97">
        <v>1</v>
      </c>
    </row>
    <row r="13" spans="1:25" ht="39" x14ac:dyDescent="0.3">
      <c r="A13" s="78" t="s">
        <v>57</v>
      </c>
      <c r="B13" s="79" t="s">
        <v>43</v>
      </c>
      <c r="C13" s="80"/>
      <c r="D13" s="81">
        <v>7000</v>
      </c>
      <c r="E13" s="82">
        <v>0</v>
      </c>
      <c r="F13" s="76">
        <v>0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</row>
    <row r="14" spans="1:25" ht="26.25" x14ac:dyDescent="0.3">
      <c r="A14" s="78" t="s">
        <v>58</v>
      </c>
      <c r="B14" s="79" t="s">
        <v>59</v>
      </c>
      <c r="C14" s="80"/>
      <c r="D14" s="81">
        <v>7000</v>
      </c>
      <c r="E14" s="82">
        <v>14000</v>
      </c>
      <c r="F14" s="76">
        <v>2</v>
      </c>
      <c r="G14" s="83"/>
      <c r="H14" s="83"/>
      <c r="I14" s="83"/>
      <c r="J14" s="93">
        <v>1</v>
      </c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93">
        <v>1</v>
      </c>
      <c r="Y14" s="83"/>
    </row>
    <row r="15" spans="1:25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spans="1:25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spans="1:25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 spans="1:25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spans="1:25" x14ac:dyDescent="0.3">
      <c r="A19" s="153" t="s">
        <v>64</v>
      </c>
      <c r="B19" s="154"/>
      <c r="C19" s="155"/>
      <c r="D19" s="159">
        <v>61500</v>
      </c>
      <c r="E19" s="141">
        <v>172500</v>
      </c>
      <c r="F19" s="141">
        <v>30</v>
      </c>
      <c r="G19" s="90">
        <v>1</v>
      </c>
      <c r="H19" s="90">
        <v>1</v>
      </c>
      <c r="I19" s="90">
        <v>1</v>
      </c>
      <c r="J19" s="90">
        <v>5</v>
      </c>
      <c r="K19" s="90">
        <v>2</v>
      </c>
      <c r="L19" s="90">
        <v>2</v>
      </c>
      <c r="M19" s="90">
        <v>1</v>
      </c>
      <c r="N19" s="90">
        <v>1</v>
      </c>
      <c r="O19" s="90">
        <v>1</v>
      </c>
      <c r="P19" s="90">
        <v>2</v>
      </c>
      <c r="Q19" s="90">
        <v>2</v>
      </c>
      <c r="R19" s="90">
        <v>2</v>
      </c>
      <c r="S19" s="90">
        <v>1</v>
      </c>
      <c r="T19" s="90">
        <v>1</v>
      </c>
      <c r="U19" s="90">
        <v>1</v>
      </c>
      <c r="V19" s="90">
        <v>2</v>
      </c>
      <c r="W19" s="90">
        <v>1</v>
      </c>
      <c r="X19" s="90">
        <v>2</v>
      </c>
      <c r="Y19" s="90">
        <v>1</v>
      </c>
    </row>
    <row r="20" spans="1:25" x14ac:dyDescent="0.3">
      <c r="A20" s="156"/>
      <c r="B20" s="157"/>
      <c r="C20" s="158"/>
      <c r="D20" s="160"/>
      <c r="E20" s="142"/>
      <c r="F20" s="142"/>
      <c r="G20" s="91">
        <v>5500</v>
      </c>
      <c r="H20" s="92">
        <v>6500</v>
      </c>
      <c r="I20" s="92">
        <v>5500</v>
      </c>
      <c r="J20" s="92">
        <v>30500</v>
      </c>
      <c r="K20" s="92">
        <v>11000</v>
      </c>
      <c r="L20" s="92">
        <v>13500</v>
      </c>
      <c r="M20" s="92">
        <v>6000</v>
      </c>
      <c r="N20" s="92">
        <v>5500</v>
      </c>
      <c r="O20" s="92">
        <v>4000</v>
      </c>
      <c r="P20" s="92">
        <v>10000</v>
      </c>
      <c r="Q20" s="92">
        <v>11000</v>
      </c>
      <c r="R20" s="92">
        <v>12000</v>
      </c>
      <c r="S20" s="92">
        <v>6000</v>
      </c>
      <c r="T20" s="92">
        <v>5500</v>
      </c>
      <c r="U20" s="92">
        <v>5500</v>
      </c>
      <c r="V20" s="92">
        <v>11000</v>
      </c>
      <c r="W20" s="92">
        <v>5500</v>
      </c>
      <c r="X20" s="92">
        <v>13000</v>
      </c>
      <c r="Y20" s="92">
        <v>5000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8F09-95FF-41C8-A252-D84B3752B4F7}">
  <dimension ref="A1:Z20"/>
  <sheetViews>
    <sheetView topLeftCell="A7" workbookViewId="0">
      <selection activeCell="X9" sqref="X9"/>
    </sheetView>
  </sheetViews>
  <sheetFormatPr defaultRowHeight="16.5" x14ac:dyDescent="0.3"/>
  <sheetData>
    <row r="1" spans="1:26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  <c r="Z1" s="64"/>
    </row>
    <row r="2" spans="1:26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  <c r="Z2" s="64"/>
    </row>
    <row r="3" spans="1:26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</row>
    <row r="4" spans="1:26" x14ac:dyDescent="0.3">
      <c r="A4" s="144"/>
      <c r="B4" s="146"/>
      <c r="C4" s="148"/>
      <c r="D4" s="150"/>
      <c r="E4" s="152"/>
      <c r="F4" s="69" t="s">
        <v>41</v>
      </c>
      <c r="G4" s="70">
        <v>1001</v>
      </c>
      <c r="H4" s="70">
        <v>617</v>
      </c>
      <c r="I4" s="70">
        <v>1018</v>
      </c>
      <c r="J4" s="70">
        <v>614</v>
      </c>
      <c r="K4" s="70">
        <v>1230</v>
      </c>
      <c r="L4" s="70">
        <v>1614</v>
      </c>
      <c r="M4" s="70">
        <v>1430</v>
      </c>
      <c r="N4" s="70">
        <v>1120</v>
      </c>
      <c r="O4" s="70">
        <v>1402</v>
      </c>
      <c r="P4" s="70">
        <v>618</v>
      </c>
      <c r="Q4" s="70">
        <v>1125</v>
      </c>
      <c r="R4" s="70">
        <v>1715</v>
      </c>
      <c r="S4" s="70">
        <v>1506</v>
      </c>
      <c r="T4" s="70">
        <v>1414</v>
      </c>
      <c r="U4" s="70">
        <v>1203</v>
      </c>
      <c r="V4" s="70">
        <v>724</v>
      </c>
      <c r="W4" s="70">
        <v>1529</v>
      </c>
      <c r="X4" s="70">
        <v>1228</v>
      </c>
      <c r="Y4" s="70">
        <v>1123</v>
      </c>
      <c r="Z4" s="70">
        <v>1019</v>
      </c>
    </row>
    <row r="5" spans="1:26" ht="39.75" x14ac:dyDescent="0.3">
      <c r="A5" s="71" t="s">
        <v>42</v>
      </c>
      <c r="B5" s="72" t="s">
        <v>65</v>
      </c>
      <c r="C5" s="73"/>
      <c r="D5" s="74">
        <v>6000</v>
      </c>
      <c r="E5" s="75">
        <v>42000</v>
      </c>
      <c r="F5" s="76">
        <v>7</v>
      </c>
      <c r="G5" s="77"/>
      <c r="H5" s="77"/>
      <c r="I5" s="77"/>
      <c r="J5" s="94">
        <v>1</v>
      </c>
      <c r="K5" s="77"/>
      <c r="L5" s="94">
        <v>1</v>
      </c>
      <c r="M5" s="77"/>
      <c r="N5" s="77"/>
      <c r="O5" s="77"/>
      <c r="P5" s="94">
        <v>1</v>
      </c>
      <c r="Q5" s="77"/>
      <c r="R5" s="94">
        <v>1</v>
      </c>
      <c r="S5" s="94">
        <v>1</v>
      </c>
      <c r="T5" s="77"/>
      <c r="U5" s="77"/>
      <c r="V5" s="77"/>
      <c r="W5" s="77"/>
      <c r="X5" s="77"/>
      <c r="Y5" s="99">
        <v>1</v>
      </c>
      <c r="Z5" s="77">
        <v>1</v>
      </c>
    </row>
    <row r="6" spans="1:26" ht="39.75" x14ac:dyDescent="0.3">
      <c r="A6" s="78" t="s">
        <v>44</v>
      </c>
      <c r="B6" s="79" t="s">
        <v>66</v>
      </c>
      <c r="C6" s="80"/>
      <c r="D6" s="81">
        <v>6500</v>
      </c>
      <c r="E6" s="82">
        <v>26000</v>
      </c>
      <c r="F6" s="76">
        <v>4</v>
      </c>
      <c r="G6" s="83"/>
      <c r="H6" s="83"/>
      <c r="I6" s="83">
        <v>1</v>
      </c>
      <c r="J6" s="93">
        <v>1</v>
      </c>
      <c r="K6" s="83"/>
      <c r="L6" s="83"/>
      <c r="M6" s="83"/>
      <c r="N6" s="95">
        <v>1</v>
      </c>
      <c r="O6" s="83"/>
      <c r="P6" s="83"/>
      <c r="Q6" s="83"/>
      <c r="R6" s="93">
        <v>1</v>
      </c>
      <c r="S6" s="83"/>
      <c r="T6" s="83"/>
      <c r="U6" s="83"/>
      <c r="V6" s="83"/>
      <c r="W6" s="83"/>
      <c r="X6" s="83"/>
      <c r="Y6" s="83"/>
      <c r="Z6" s="83"/>
    </row>
    <row r="7" spans="1:26" ht="39.75" x14ac:dyDescent="0.3">
      <c r="A7" s="78" t="s">
        <v>46</v>
      </c>
      <c r="B7" s="79" t="s">
        <v>67</v>
      </c>
      <c r="C7" s="80" t="s">
        <v>68</v>
      </c>
      <c r="D7" s="81">
        <v>7000</v>
      </c>
      <c r="E7" s="82">
        <v>49000</v>
      </c>
      <c r="F7" s="76">
        <v>7</v>
      </c>
      <c r="G7" s="83">
        <v>2</v>
      </c>
      <c r="H7" s="83"/>
      <c r="I7" s="83">
        <v>1</v>
      </c>
      <c r="J7" s="93">
        <v>1</v>
      </c>
      <c r="K7" s="83"/>
      <c r="L7" s="83"/>
      <c r="M7" s="83"/>
      <c r="N7" s="83"/>
      <c r="O7" s="98">
        <v>1</v>
      </c>
      <c r="P7" s="93">
        <v>1</v>
      </c>
      <c r="Q7" s="83"/>
      <c r="R7" s="83"/>
      <c r="S7" s="83"/>
      <c r="T7" s="83"/>
      <c r="U7" s="83"/>
      <c r="V7" s="83"/>
      <c r="W7" s="83"/>
      <c r="X7" s="83"/>
      <c r="Y7" s="83"/>
      <c r="Z7" s="83">
        <v>1</v>
      </c>
    </row>
    <row r="8" spans="1:26" ht="26.25" x14ac:dyDescent="0.3">
      <c r="A8" s="78" t="s">
        <v>48</v>
      </c>
      <c r="B8" s="79" t="s">
        <v>69</v>
      </c>
      <c r="C8" s="80"/>
      <c r="D8" s="81">
        <v>5500</v>
      </c>
      <c r="E8" s="82">
        <v>38500</v>
      </c>
      <c r="F8" s="76">
        <v>7</v>
      </c>
      <c r="G8" s="98"/>
      <c r="H8" s="93">
        <v>1</v>
      </c>
      <c r="I8" s="83"/>
      <c r="J8" s="93">
        <v>1</v>
      </c>
      <c r="K8" s="83"/>
      <c r="L8" s="93">
        <v>1</v>
      </c>
      <c r="M8" s="83"/>
      <c r="N8" s="83"/>
      <c r="O8" s="83"/>
      <c r="P8" s="83"/>
      <c r="Q8" s="83"/>
      <c r="R8" s="83"/>
      <c r="S8" s="83"/>
      <c r="T8" s="83"/>
      <c r="U8" s="83"/>
      <c r="V8" s="95">
        <v>1</v>
      </c>
      <c r="W8" s="83"/>
      <c r="X8" s="83">
        <v>2</v>
      </c>
      <c r="Y8" s="98">
        <v>1</v>
      </c>
      <c r="Z8" s="83"/>
    </row>
    <row r="9" spans="1:26" ht="26.25" x14ac:dyDescent="0.3">
      <c r="A9" s="78" t="s">
        <v>50</v>
      </c>
      <c r="B9" s="79" t="s">
        <v>70</v>
      </c>
      <c r="C9" s="80"/>
      <c r="D9" s="81">
        <v>4000</v>
      </c>
      <c r="E9" s="82">
        <v>4000</v>
      </c>
      <c r="F9" s="76">
        <v>1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>
        <v>1</v>
      </c>
      <c r="X9" s="83"/>
      <c r="Y9" s="83"/>
      <c r="Z9" s="83"/>
    </row>
    <row r="10" spans="1:26" ht="27" x14ac:dyDescent="0.3">
      <c r="A10" s="78" t="s">
        <v>52</v>
      </c>
      <c r="B10" s="79" t="s">
        <v>71</v>
      </c>
      <c r="C10" s="80"/>
      <c r="D10" s="81">
        <v>4000</v>
      </c>
      <c r="E10" s="82">
        <v>20000</v>
      </c>
      <c r="F10" s="76">
        <v>5</v>
      </c>
      <c r="G10" s="83"/>
      <c r="H10" s="83"/>
      <c r="I10" s="83"/>
      <c r="J10" s="93">
        <v>1</v>
      </c>
      <c r="K10" s="93">
        <v>1</v>
      </c>
      <c r="L10" s="93">
        <v>1</v>
      </c>
      <c r="M10" s="83"/>
      <c r="N10" s="83"/>
      <c r="O10" s="83"/>
      <c r="P10" s="93">
        <v>1</v>
      </c>
      <c r="Q10" s="98">
        <v>1</v>
      </c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39" x14ac:dyDescent="0.3">
      <c r="A11" s="78" t="s">
        <v>54</v>
      </c>
      <c r="B11" s="79" t="s">
        <v>72</v>
      </c>
      <c r="C11" s="80"/>
      <c r="D11" s="81">
        <v>4000</v>
      </c>
      <c r="E11" s="82">
        <v>4000</v>
      </c>
      <c r="F11" s="76">
        <v>1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93">
        <v>1</v>
      </c>
      <c r="V11" s="83"/>
      <c r="W11" s="83"/>
      <c r="X11" s="83"/>
      <c r="Y11" s="83"/>
      <c r="Z11" s="83"/>
    </row>
    <row r="12" spans="1:26" ht="26.25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9" x14ac:dyDescent="0.3">
      <c r="A13" s="78" t="s">
        <v>57</v>
      </c>
      <c r="B13" s="79" t="s">
        <v>65</v>
      </c>
      <c r="C13" s="80"/>
      <c r="D13" s="81">
        <v>7000</v>
      </c>
      <c r="E13" s="82">
        <v>21000</v>
      </c>
      <c r="F13" s="76">
        <v>3</v>
      </c>
      <c r="G13" s="83"/>
      <c r="H13" s="83"/>
      <c r="I13" s="83"/>
      <c r="J13" s="93">
        <v>1</v>
      </c>
      <c r="K13" s="83"/>
      <c r="L13" s="83"/>
      <c r="M13" s="93">
        <v>1</v>
      </c>
      <c r="N13" s="83"/>
      <c r="O13" s="83"/>
      <c r="P13" s="83"/>
      <c r="Q13" s="83"/>
      <c r="R13" s="83"/>
      <c r="S13" s="83"/>
      <c r="T13" s="96">
        <v>1</v>
      </c>
      <c r="U13" s="83"/>
      <c r="V13" s="83"/>
      <c r="W13" s="83"/>
      <c r="X13" s="83"/>
      <c r="Y13" s="83"/>
      <c r="Z13" s="83"/>
    </row>
    <row r="14" spans="1:26" ht="26.25" x14ac:dyDescent="0.3">
      <c r="A14" s="78" t="s">
        <v>58</v>
      </c>
      <c r="B14" s="79" t="s">
        <v>73</v>
      </c>
      <c r="C14" s="80"/>
      <c r="D14" s="81">
        <v>7000</v>
      </c>
      <c r="E14" s="82">
        <v>35000</v>
      </c>
      <c r="F14" s="76">
        <v>5</v>
      </c>
      <c r="G14" s="83"/>
      <c r="H14" s="83"/>
      <c r="I14" s="83"/>
      <c r="J14" s="93">
        <v>1</v>
      </c>
      <c r="K14" s="83"/>
      <c r="L14" s="93">
        <v>1</v>
      </c>
      <c r="M14" s="83"/>
      <c r="N14" s="83"/>
      <c r="O14" s="83"/>
      <c r="P14" s="83"/>
      <c r="Q14" s="83"/>
      <c r="R14" s="83"/>
      <c r="S14" s="93">
        <v>1</v>
      </c>
      <c r="T14" s="96">
        <v>1</v>
      </c>
      <c r="U14" s="83"/>
      <c r="V14" s="95">
        <v>1</v>
      </c>
      <c r="W14" s="83"/>
      <c r="X14" s="83"/>
      <c r="Y14" s="83"/>
      <c r="Z14" s="83"/>
    </row>
    <row r="15" spans="1:26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x14ac:dyDescent="0.3">
      <c r="A19" s="153" t="s">
        <v>64</v>
      </c>
      <c r="B19" s="154"/>
      <c r="C19" s="155"/>
      <c r="D19" s="159">
        <v>61500</v>
      </c>
      <c r="E19" s="141">
        <v>239500</v>
      </c>
      <c r="F19" s="141">
        <v>40</v>
      </c>
      <c r="G19" s="90">
        <v>2</v>
      </c>
      <c r="H19" s="90">
        <v>1</v>
      </c>
      <c r="I19" s="90">
        <v>2</v>
      </c>
      <c r="J19" s="90">
        <v>7</v>
      </c>
      <c r="K19" s="90">
        <v>1</v>
      </c>
      <c r="L19" s="90">
        <v>4</v>
      </c>
      <c r="M19" s="90">
        <v>1</v>
      </c>
      <c r="N19" s="90">
        <v>1</v>
      </c>
      <c r="O19" s="90">
        <v>1</v>
      </c>
      <c r="P19" s="90">
        <v>3</v>
      </c>
      <c r="Q19" s="90">
        <v>1</v>
      </c>
      <c r="R19" s="90">
        <v>2</v>
      </c>
      <c r="S19" s="90">
        <v>2</v>
      </c>
      <c r="T19" s="90">
        <v>2</v>
      </c>
      <c r="U19" s="90">
        <v>1</v>
      </c>
      <c r="V19" s="90">
        <v>2</v>
      </c>
      <c r="W19" s="90">
        <v>1</v>
      </c>
      <c r="X19" s="90">
        <v>2</v>
      </c>
      <c r="Y19" s="90">
        <v>2</v>
      </c>
      <c r="Z19" s="90">
        <v>2</v>
      </c>
    </row>
    <row r="20" spans="1:26" x14ac:dyDescent="0.3">
      <c r="A20" s="156"/>
      <c r="B20" s="157"/>
      <c r="C20" s="158"/>
      <c r="D20" s="160"/>
      <c r="E20" s="142"/>
      <c r="F20" s="142"/>
      <c r="G20" s="91">
        <v>14000</v>
      </c>
      <c r="H20" s="92">
        <v>5500</v>
      </c>
      <c r="I20" s="92">
        <v>13500</v>
      </c>
      <c r="J20" s="92">
        <v>43000</v>
      </c>
      <c r="K20" s="92">
        <v>4000</v>
      </c>
      <c r="L20" s="92">
        <v>22500</v>
      </c>
      <c r="M20" s="92">
        <v>7000</v>
      </c>
      <c r="N20" s="92">
        <v>6500</v>
      </c>
      <c r="O20" s="92">
        <v>7000</v>
      </c>
      <c r="P20" s="92">
        <v>17000</v>
      </c>
      <c r="Q20" s="92">
        <v>4000</v>
      </c>
      <c r="R20" s="92">
        <v>12500</v>
      </c>
      <c r="S20" s="92">
        <v>13000</v>
      </c>
      <c r="T20" s="92">
        <v>14000</v>
      </c>
      <c r="U20" s="92">
        <v>4000</v>
      </c>
      <c r="V20" s="92">
        <v>12500</v>
      </c>
      <c r="W20" s="92">
        <v>4000</v>
      </c>
      <c r="X20" s="92">
        <v>11000</v>
      </c>
      <c r="Y20" s="92">
        <v>11500</v>
      </c>
      <c r="Z20" s="92">
        <v>13000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2268E-6D98-461E-96AD-9D9DE61EC5F8}">
  <dimension ref="A1:AD20"/>
  <sheetViews>
    <sheetView topLeftCell="S1" workbookViewId="0">
      <selection activeCell="AD6" sqref="AD6"/>
    </sheetView>
  </sheetViews>
  <sheetFormatPr defaultRowHeight="16.5" x14ac:dyDescent="0.3"/>
  <sheetData>
    <row r="1" spans="1:30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  <c r="Z1" s="64"/>
      <c r="AA1" s="64"/>
      <c r="AB1" s="64"/>
      <c r="AC1" s="64"/>
      <c r="AD1" s="64"/>
    </row>
    <row r="2" spans="1:30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  <c r="Z2" s="64"/>
      <c r="AA2" s="64"/>
      <c r="AB2" s="64"/>
      <c r="AC2" s="64"/>
      <c r="AD2" s="64"/>
    </row>
    <row r="3" spans="1:30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  <c r="AA3" s="68">
        <v>21</v>
      </c>
      <c r="AB3" s="68">
        <v>22</v>
      </c>
      <c r="AC3" s="68">
        <v>23</v>
      </c>
      <c r="AD3" s="68">
        <v>24</v>
      </c>
    </row>
    <row r="4" spans="1:30" x14ac:dyDescent="0.3">
      <c r="A4" s="144"/>
      <c r="B4" s="146"/>
      <c r="C4" s="148"/>
      <c r="D4" s="150"/>
      <c r="E4" s="152"/>
      <c r="F4" s="69" t="s">
        <v>41</v>
      </c>
      <c r="G4" s="70">
        <v>1225</v>
      </c>
      <c r="H4" s="70">
        <v>505</v>
      </c>
      <c r="I4" s="70">
        <v>1614</v>
      </c>
      <c r="J4" s="70">
        <v>1021</v>
      </c>
      <c r="K4" s="70">
        <v>828</v>
      </c>
      <c r="L4" s="70">
        <v>928</v>
      </c>
      <c r="M4" s="70">
        <v>1102</v>
      </c>
      <c r="N4" s="70">
        <v>926</v>
      </c>
      <c r="O4" s="70">
        <v>724</v>
      </c>
      <c r="P4" s="70">
        <v>1402</v>
      </c>
      <c r="Q4" s="70">
        <v>1716</v>
      </c>
      <c r="R4" s="70">
        <v>922</v>
      </c>
      <c r="S4" s="70">
        <v>1425</v>
      </c>
      <c r="T4" s="70">
        <v>914</v>
      </c>
      <c r="U4" s="70">
        <v>1519</v>
      </c>
      <c r="V4" s="70">
        <v>1226</v>
      </c>
      <c r="W4" s="70">
        <v>1002</v>
      </c>
      <c r="X4" s="70">
        <v>1031</v>
      </c>
      <c r="Y4" s="70">
        <v>1227</v>
      </c>
      <c r="Z4" s="70">
        <v>706</v>
      </c>
      <c r="AA4" s="70">
        <v>1506</v>
      </c>
      <c r="AB4" s="70">
        <v>531</v>
      </c>
      <c r="AC4" s="70">
        <v>1624</v>
      </c>
      <c r="AD4" s="70">
        <v>826</v>
      </c>
    </row>
    <row r="5" spans="1:30" ht="39.75" x14ac:dyDescent="0.3">
      <c r="A5" s="71" t="s">
        <v>42</v>
      </c>
      <c r="B5" s="72" t="s">
        <v>65</v>
      </c>
      <c r="C5" s="73"/>
      <c r="D5" s="74">
        <v>6000</v>
      </c>
      <c r="E5" s="75">
        <v>30000</v>
      </c>
      <c r="F5" s="76">
        <v>5</v>
      </c>
      <c r="G5" s="77"/>
      <c r="H5" s="77"/>
      <c r="I5" s="77"/>
      <c r="J5" s="100">
        <v>1</v>
      </c>
      <c r="K5" s="94">
        <v>1</v>
      </c>
      <c r="L5" s="77"/>
      <c r="M5" s="77"/>
      <c r="N5" s="77"/>
      <c r="O5" s="77"/>
      <c r="P5" s="77"/>
      <c r="Q5" s="77"/>
      <c r="R5" s="77"/>
      <c r="S5" s="94">
        <v>1</v>
      </c>
      <c r="T5" s="77"/>
      <c r="U5" s="77"/>
      <c r="V5" s="77"/>
      <c r="W5" s="100">
        <v>1</v>
      </c>
      <c r="X5" s="77"/>
      <c r="Y5" s="77"/>
      <c r="Z5" s="77"/>
      <c r="AA5" s="77"/>
      <c r="AB5" s="100">
        <v>1</v>
      </c>
      <c r="AC5" s="77"/>
      <c r="AD5" s="77"/>
    </row>
    <row r="6" spans="1:30" ht="39.75" x14ac:dyDescent="0.3">
      <c r="A6" s="78" t="s">
        <v>44</v>
      </c>
      <c r="B6" s="79" t="s">
        <v>66</v>
      </c>
      <c r="C6" s="80"/>
      <c r="D6" s="81">
        <v>6500</v>
      </c>
      <c r="E6" s="82">
        <v>32500</v>
      </c>
      <c r="F6" s="76">
        <v>5</v>
      </c>
      <c r="G6" s="96">
        <v>1</v>
      </c>
      <c r="H6" s="83"/>
      <c r="I6" s="83"/>
      <c r="J6" s="96">
        <v>1</v>
      </c>
      <c r="K6" s="83"/>
      <c r="L6" s="83"/>
      <c r="M6" s="83"/>
      <c r="N6" s="83"/>
      <c r="O6" s="83"/>
      <c r="P6" s="83"/>
      <c r="Q6" s="96">
        <v>1</v>
      </c>
      <c r="R6" s="83"/>
      <c r="S6" s="93">
        <v>1</v>
      </c>
      <c r="T6" s="83"/>
      <c r="U6" s="83"/>
      <c r="V6" s="83"/>
      <c r="W6" s="83"/>
      <c r="X6" s="83"/>
      <c r="Y6" s="83"/>
      <c r="Z6" s="83"/>
      <c r="AA6" s="83"/>
      <c r="AB6" s="83"/>
      <c r="AC6" s="83"/>
      <c r="AD6" s="96">
        <v>1</v>
      </c>
    </row>
    <row r="7" spans="1:30" ht="39.75" x14ac:dyDescent="0.3">
      <c r="A7" s="78" t="s">
        <v>46</v>
      </c>
      <c r="B7" s="79" t="s">
        <v>67</v>
      </c>
      <c r="C7" s="80"/>
      <c r="D7" s="81">
        <v>7000</v>
      </c>
      <c r="E7" s="82">
        <v>14000</v>
      </c>
      <c r="F7" s="76">
        <v>2</v>
      </c>
      <c r="G7" s="83"/>
      <c r="H7" s="83"/>
      <c r="I7" s="83"/>
      <c r="J7" s="96">
        <v>1</v>
      </c>
      <c r="K7" s="83"/>
      <c r="L7" s="83"/>
      <c r="M7" s="83"/>
      <c r="N7" s="83"/>
      <c r="O7" s="83"/>
      <c r="P7" s="83"/>
      <c r="Q7" s="83"/>
      <c r="R7" s="83"/>
      <c r="S7" s="93">
        <v>1</v>
      </c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</row>
    <row r="8" spans="1:30" ht="26.25" x14ac:dyDescent="0.3">
      <c r="A8" s="78" t="s">
        <v>48</v>
      </c>
      <c r="B8" s="79" t="s">
        <v>69</v>
      </c>
      <c r="C8" s="80"/>
      <c r="D8" s="81">
        <v>5500</v>
      </c>
      <c r="E8" s="82">
        <v>82500</v>
      </c>
      <c r="F8" s="76">
        <v>15</v>
      </c>
      <c r="G8" s="83"/>
      <c r="H8" s="96">
        <v>1</v>
      </c>
      <c r="I8" s="93">
        <v>2</v>
      </c>
      <c r="J8" s="96">
        <v>2</v>
      </c>
      <c r="K8" s="83"/>
      <c r="L8" s="93">
        <v>1</v>
      </c>
      <c r="M8" s="93">
        <v>1</v>
      </c>
      <c r="N8" s="93">
        <v>1</v>
      </c>
      <c r="O8" s="83"/>
      <c r="P8" s="83"/>
      <c r="Q8" s="83"/>
      <c r="R8" s="83"/>
      <c r="S8" s="83"/>
      <c r="T8" s="83">
        <v>1</v>
      </c>
      <c r="U8" s="93">
        <v>2</v>
      </c>
      <c r="V8" s="93">
        <v>1</v>
      </c>
      <c r="W8" s="83"/>
      <c r="X8" s="83"/>
      <c r="Y8" s="93">
        <v>1</v>
      </c>
      <c r="Z8" s="96">
        <v>2</v>
      </c>
      <c r="AA8" s="83"/>
      <c r="AB8" s="83"/>
      <c r="AC8" s="83"/>
      <c r="AD8" s="83"/>
    </row>
    <row r="9" spans="1:30" ht="26.25" x14ac:dyDescent="0.3">
      <c r="A9" s="78" t="s">
        <v>50</v>
      </c>
      <c r="B9" s="79" t="s">
        <v>70</v>
      </c>
      <c r="C9" s="80"/>
      <c r="D9" s="81">
        <v>4000</v>
      </c>
      <c r="E9" s="82">
        <v>0</v>
      </c>
      <c r="F9" s="76">
        <v>0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</row>
    <row r="10" spans="1:30" ht="27" x14ac:dyDescent="0.3">
      <c r="A10" s="78" t="s">
        <v>52</v>
      </c>
      <c r="B10" s="79" t="s">
        <v>71</v>
      </c>
      <c r="C10" s="80"/>
      <c r="D10" s="81">
        <v>4000</v>
      </c>
      <c r="E10" s="82">
        <v>40000</v>
      </c>
      <c r="F10" s="76">
        <v>10</v>
      </c>
      <c r="G10" s="83"/>
      <c r="H10" s="83"/>
      <c r="I10" s="83"/>
      <c r="J10" s="83"/>
      <c r="K10" s="83"/>
      <c r="L10" s="83"/>
      <c r="M10" s="83"/>
      <c r="N10" s="83"/>
      <c r="O10" s="83"/>
      <c r="P10" s="93">
        <v>1</v>
      </c>
      <c r="Q10" s="83"/>
      <c r="R10" s="83"/>
      <c r="S10" s="83"/>
      <c r="T10" s="83"/>
      <c r="U10" s="83"/>
      <c r="V10" s="83"/>
      <c r="W10" s="83"/>
      <c r="X10" s="83">
        <v>8</v>
      </c>
      <c r="Y10" s="93">
        <v>1</v>
      </c>
      <c r="Z10" s="83"/>
      <c r="AA10" s="83"/>
      <c r="AB10" s="83"/>
      <c r="AC10" s="83"/>
      <c r="AD10" s="83"/>
    </row>
    <row r="11" spans="1:30" ht="39" x14ac:dyDescent="0.3">
      <c r="A11" s="78" t="s">
        <v>54</v>
      </c>
      <c r="B11" s="79" t="s">
        <v>72</v>
      </c>
      <c r="C11" s="80"/>
      <c r="D11" s="81">
        <v>4000</v>
      </c>
      <c r="E11" s="82">
        <v>0</v>
      </c>
      <c r="F11" s="76">
        <v>0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</row>
    <row r="12" spans="1:30" ht="26.25" x14ac:dyDescent="0.3">
      <c r="A12" s="78" t="s">
        <v>56</v>
      </c>
      <c r="B12" s="79" t="s">
        <v>71</v>
      </c>
      <c r="C12" s="80"/>
      <c r="D12" s="81">
        <v>5000</v>
      </c>
      <c r="E12" s="82">
        <v>10000</v>
      </c>
      <c r="F12" s="76">
        <v>2</v>
      </c>
      <c r="G12" s="84"/>
      <c r="H12" s="84"/>
      <c r="I12" s="84"/>
      <c r="J12" s="84"/>
      <c r="K12" s="84"/>
      <c r="L12" s="84"/>
      <c r="M12" s="84"/>
      <c r="N12" s="84"/>
      <c r="O12" s="84">
        <v>1</v>
      </c>
      <c r="P12" s="84"/>
      <c r="Q12" s="84"/>
      <c r="R12" s="101">
        <v>1</v>
      </c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</row>
    <row r="13" spans="1:30" ht="39" x14ac:dyDescent="0.3">
      <c r="A13" s="78" t="s">
        <v>57</v>
      </c>
      <c r="B13" s="79" t="s">
        <v>65</v>
      </c>
      <c r="C13" s="80"/>
      <c r="D13" s="81">
        <v>7000</v>
      </c>
      <c r="E13" s="82">
        <v>7000</v>
      </c>
      <c r="F13" s="76">
        <v>1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96">
        <v>1</v>
      </c>
      <c r="AB13" s="83"/>
      <c r="AC13" s="83"/>
      <c r="AD13" s="83"/>
    </row>
    <row r="14" spans="1:30" ht="26.25" x14ac:dyDescent="0.3">
      <c r="A14" s="78" t="s">
        <v>58</v>
      </c>
      <c r="B14" s="79" t="s">
        <v>73</v>
      </c>
      <c r="C14" s="80"/>
      <c r="D14" s="81">
        <v>7000</v>
      </c>
      <c r="E14" s="82">
        <v>14000</v>
      </c>
      <c r="F14" s="76">
        <v>2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96">
        <v>1</v>
      </c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96">
        <v>1</v>
      </c>
      <c r="AD14" s="83"/>
    </row>
    <row r="15" spans="1:30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</row>
    <row r="16" spans="1:30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</row>
    <row r="17" spans="1:30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</row>
    <row r="18" spans="1:30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</row>
    <row r="19" spans="1:30" x14ac:dyDescent="0.3">
      <c r="A19" s="153" t="s">
        <v>64</v>
      </c>
      <c r="B19" s="154"/>
      <c r="C19" s="155"/>
      <c r="D19" s="159">
        <v>61500</v>
      </c>
      <c r="E19" s="141">
        <v>230000</v>
      </c>
      <c r="F19" s="141">
        <v>42</v>
      </c>
      <c r="G19" s="90">
        <v>1</v>
      </c>
      <c r="H19" s="90">
        <v>1</v>
      </c>
      <c r="I19" s="90">
        <v>2</v>
      </c>
      <c r="J19" s="90">
        <v>5</v>
      </c>
      <c r="K19" s="90">
        <v>1</v>
      </c>
      <c r="L19" s="90">
        <v>1</v>
      </c>
      <c r="M19" s="90">
        <v>1</v>
      </c>
      <c r="N19" s="90">
        <v>1</v>
      </c>
      <c r="O19" s="90">
        <v>1</v>
      </c>
      <c r="P19" s="90">
        <v>1</v>
      </c>
      <c r="Q19" s="90">
        <v>1</v>
      </c>
      <c r="R19" s="90">
        <v>2</v>
      </c>
      <c r="S19" s="90">
        <v>3</v>
      </c>
      <c r="T19" s="90">
        <v>1</v>
      </c>
      <c r="U19" s="90">
        <v>2</v>
      </c>
      <c r="V19" s="90">
        <v>1</v>
      </c>
      <c r="W19" s="90">
        <v>1</v>
      </c>
      <c r="X19" s="90">
        <v>8</v>
      </c>
      <c r="Y19" s="90">
        <v>2</v>
      </c>
      <c r="Z19" s="90">
        <v>2</v>
      </c>
      <c r="AA19" s="90">
        <v>1</v>
      </c>
      <c r="AB19" s="90">
        <v>1</v>
      </c>
      <c r="AC19" s="90">
        <v>1</v>
      </c>
      <c r="AD19" s="90">
        <v>1</v>
      </c>
    </row>
    <row r="20" spans="1:30" x14ac:dyDescent="0.3">
      <c r="A20" s="156"/>
      <c r="B20" s="157"/>
      <c r="C20" s="158"/>
      <c r="D20" s="160"/>
      <c r="E20" s="142"/>
      <c r="F20" s="142"/>
      <c r="G20" s="91">
        <v>6500</v>
      </c>
      <c r="H20" s="92">
        <v>5500</v>
      </c>
      <c r="I20" s="92">
        <v>11000</v>
      </c>
      <c r="J20" s="92">
        <v>30500</v>
      </c>
      <c r="K20" s="92">
        <v>6000</v>
      </c>
      <c r="L20" s="92">
        <v>5500</v>
      </c>
      <c r="M20" s="92">
        <v>5500</v>
      </c>
      <c r="N20" s="92">
        <v>5500</v>
      </c>
      <c r="O20" s="92">
        <v>5000</v>
      </c>
      <c r="P20" s="92">
        <v>4000</v>
      </c>
      <c r="Q20" s="92">
        <v>6500</v>
      </c>
      <c r="R20" s="92">
        <v>12000</v>
      </c>
      <c r="S20" s="92">
        <v>19500</v>
      </c>
      <c r="T20" s="92">
        <v>5500</v>
      </c>
      <c r="U20" s="92">
        <v>11000</v>
      </c>
      <c r="V20" s="92">
        <v>5500</v>
      </c>
      <c r="W20" s="92">
        <v>6000</v>
      </c>
      <c r="X20" s="92">
        <v>32000</v>
      </c>
      <c r="Y20" s="92">
        <v>9500</v>
      </c>
      <c r="Z20" s="92">
        <v>11000</v>
      </c>
      <c r="AA20" s="92">
        <v>7000</v>
      </c>
      <c r="AB20" s="92">
        <v>6000</v>
      </c>
      <c r="AC20" s="92">
        <v>7000</v>
      </c>
      <c r="AD20" s="92">
        <v>6500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C398-FD13-4B04-A4A5-79C60DB65FA2}">
  <dimension ref="A1:AD21"/>
  <sheetViews>
    <sheetView zoomScale="55" zoomScaleNormal="55" workbookViewId="0">
      <pane xSplit="1" topLeftCell="B1" activePane="topRight" state="frozen"/>
      <selection pane="topRight" activeCell="AA14" sqref="AA14:AA15"/>
    </sheetView>
  </sheetViews>
  <sheetFormatPr defaultRowHeight="16.5" x14ac:dyDescent="0.3"/>
  <cols>
    <col min="7" max="7" width="10.125" customWidth="1"/>
    <col min="8" max="8" width="8.5" bestFit="1" customWidth="1"/>
    <col min="9" max="9" width="7.625" bestFit="1" customWidth="1"/>
    <col min="10" max="10" width="8.5" bestFit="1" customWidth="1"/>
    <col min="11" max="11" width="7.625" bestFit="1" customWidth="1"/>
    <col min="12" max="13" width="8.5" bestFit="1" customWidth="1"/>
    <col min="14" max="17" width="7.625" bestFit="1" customWidth="1"/>
    <col min="18" max="18" width="8.5" bestFit="1" customWidth="1"/>
    <col min="19" max="20" width="7.625" bestFit="1" customWidth="1"/>
    <col min="21" max="22" width="8.5" bestFit="1" customWidth="1"/>
    <col min="23" max="23" width="9" customWidth="1"/>
    <col min="24" max="24" width="8.5" bestFit="1" customWidth="1"/>
  </cols>
  <sheetData>
    <row r="1" spans="1:30" x14ac:dyDescent="0.2">
      <c r="A1" s="64"/>
      <c r="B1" s="64"/>
      <c r="C1" s="64"/>
      <c r="D1" s="64"/>
      <c r="E1" s="64"/>
      <c r="F1" s="64"/>
      <c r="G1" s="65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4"/>
      <c r="X1" s="64"/>
      <c r="Y1" s="64"/>
      <c r="Z1" s="64"/>
      <c r="AA1" s="64"/>
      <c r="AB1" s="64"/>
      <c r="AC1" s="64"/>
      <c r="AD1" s="64"/>
    </row>
    <row r="2" spans="1:30" ht="20.25" x14ac:dyDescent="0.2">
      <c r="A2" s="64"/>
      <c r="B2" s="180" t="s">
        <v>34</v>
      </c>
      <c r="C2" s="180"/>
      <c r="D2" s="180"/>
      <c r="E2" s="180"/>
      <c r="F2" s="180"/>
      <c r="G2" s="180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4"/>
      <c r="X2" s="64"/>
      <c r="Y2" s="64"/>
      <c r="Z2" s="64"/>
      <c r="AA2" s="64"/>
      <c r="AB2" s="64"/>
      <c r="AC2" s="64"/>
      <c r="AD2" s="64"/>
    </row>
    <row r="3" spans="1:30" x14ac:dyDescent="0.2">
      <c r="A3" s="64"/>
      <c r="B3" s="64"/>
      <c r="C3" s="64"/>
      <c r="D3" s="64"/>
      <c r="E3" s="64"/>
      <c r="F3" s="64"/>
      <c r="G3" s="65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4"/>
      <c r="X3" s="64"/>
      <c r="Y3" s="64"/>
      <c r="Z3" s="64"/>
      <c r="AA3" s="64"/>
      <c r="AB3" s="64"/>
      <c r="AC3" s="64"/>
      <c r="AD3" s="64"/>
    </row>
    <row r="4" spans="1:30" x14ac:dyDescent="0.2">
      <c r="A4" s="102"/>
      <c r="B4" s="143" t="s">
        <v>35</v>
      </c>
      <c r="C4" s="145" t="s">
        <v>36</v>
      </c>
      <c r="D4" s="147" t="s">
        <v>37</v>
      </c>
      <c r="E4" s="149" t="s">
        <v>38</v>
      </c>
      <c r="F4" s="151" t="s">
        <v>39</v>
      </c>
      <c r="G4" s="66" t="s">
        <v>40</v>
      </c>
      <c r="H4" s="67">
        <v>1</v>
      </c>
      <c r="I4" s="68">
        <v>2</v>
      </c>
      <c r="J4" s="68">
        <v>3</v>
      </c>
      <c r="K4" s="68">
        <v>4</v>
      </c>
      <c r="L4" s="68">
        <v>5</v>
      </c>
      <c r="M4" s="68">
        <v>6</v>
      </c>
      <c r="N4" s="68">
        <v>7</v>
      </c>
      <c r="O4" s="68">
        <v>8</v>
      </c>
      <c r="P4" s="68">
        <v>9</v>
      </c>
      <c r="Q4" s="68">
        <v>10</v>
      </c>
      <c r="R4" s="68">
        <v>11</v>
      </c>
      <c r="S4" s="68">
        <v>12</v>
      </c>
      <c r="T4" s="68">
        <v>13</v>
      </c>
      <c r="U4" s="68">
        <v>14</v>
      </c>
      <c r="V4" s="68">
        <v>15</v>
      </c>
      <c r="W4" s="68">
        <v>16</v>
      </c>
      <c r="X4" s="68">
        <v>17</v>
      </c>
      <c r="Y4" s="67">
        <v>18</v>
      </c>
      <c r="Z4" s="68">
        <v>19</v>
      </c>
      <c r="AA4" s="68">
        <v>20</v>
      </c>
      <c r="AB4" s="68">
        <v>21</v>
      </c>
      <c r="AC4" s="68">
        <v>22</v>
      </c>
      <c r="AD4" s="68">
        <v>23</v>
      </c>
    </row>
    <row r="5" spans="1:30" x14ac:dyDescent="0.2">
      <c r="A5" s="102"/>
      <c r="B5" s="144"/>
      <c r="C5" s="146"/>
      <c r="D5" s="148"/>
      <c r="E5" s="150"/>
      <c r="F5" s="152"/>
      <c r="G5" s="69" t="s">
        <v>41</v>
      </c>
      <c r="H5" s="70">
        <v>1801</v>
      </c>
      <c r="I5" s="70">
        <v>1528</v>
      </c>
      <c r="J5" s="70">
        <v>1614</v>
      </c>
      <c r="K5" s="70">
        <v>712</v>
      </c>
      <c r="L5" s="70">
        <v>1102</v>
      </c>
      <c r="M5" s="70">
        <v>1402</v>
      </c>
      <c r="N5" s="70">
        <v>801</v>
      </c>
      <c r="O5" s="70">
        <v>1230</v>
      </c>
      <c r="P5" s="70">
        <v>722</v>
      </c>
      <c r="Q5" s="70">
        <v>1024</v>
      </c>
      <c r="R5" s="70">
        <v>619</v>
      </c>
      <c r="S5" s="70">
        <v>616</v>
      </c>
      <c r="T5" s="70">
        <v>1025</v>
      </c>
      <c r="U5" s="70">
        <v>618</v>
      </c>
      <c r="V5" s="70">
        <v>1127</v>
      </c>
      <c r="W5" s="70">
        <v>1726</v>
      </c>
      <c r="X5" s="70">
        <v>1125</v>
      </c>
      <c r="Y5" s="70">
        <v>922</v>
      </c>
      <c r="Z5" s="70">
        <v>1129</v>
      </c>
      <c r="AA5" s="70">
        <v>1622</v>
      </c>
      <c r="AB5" s="70">
        <v>821</v>
      </c>
      <c r="AC5" s="70">
        <v>1805</v>
      </c>
      <c r="AD5" s="70">
        <v>726</v>
      </c>
    </row>
    <row r="6" spans="1:30" ht="39.75" x14ac:dyDescent="0.2">
      <c r="A6" s="102"/>
      <c r="B6" s="71" t="s">
        <v>42</v>
      </c>
      <c r="C6" s="72" t="s">
        <v>65</v>
      </c>
      <c r="D6" s="73"/>
      <c r="E6" s="74">
        <v>6000</v>
      </c>
      <c r="F6" s="75">
        <v>42000</v>
      </c>
      <c r="G6" s="76">
        <v>7</v>
      </c>
      <c r="H6" s="77"/>
      <c r="I6" s="77"/>
      <c r="J6" s="105">
        <v>1</v>
      </c>
      <c r="K6" s="77"/>
      <c r="L6" s="77"/>
      <c r="M6" s="105">
        <v>1</v>
      </c>
      <c r="N6" s="77"/>
      <c r="O6" s="77"/>
      <c r="P6" s="106">
        <v>1</v>
      </c>
      <c r="Q6" s="77"/>
      <c r="R6" s="105">
        <v>1</v>
      </c>
      <c r="S6" s="77"/>
      <c r="T6" s="77"/>
      <c r="U6" s="106">
        <v>1</v>
      </c>
      <c r="V6" s="77"/>
      <c r="W6" s="77"/>
      <c r="X6" s="105">
        <v>1</v>
      </c>
      <c r="Y6" s="77"/>
      <c r="Z6" s="77"/>
      <c r="AA6" s="77"/>
      <c r="AB6" s="77"/>
      <c r="AC6" s="105">
        <v>1</v>
      </c>
      <c r="AD6" s="77"/>
    </row>
    <row r="7" spans="1:30" ht="39.75" x14ac:dyDescent="0.2">
      <c r="A7" s="102"/>
      <c r="B7" s="78" t="s">
        <v>44</v>
      </c>
      <c r="C7" s="79" t="s">
        <v>66</v>
      </c>
      <c r="D7" s="80"/>
      <c r="E7" s="81">
        <v>6500</v>
      </c>
      <c r="F7" s="82">
        <v>45500</v>
      </c>
      <c r="G7" s="76">
        <v>7</v>
      </c>
      <c r="H7" s="83"/>
      <c r="I7" s="83"/>
      <c r="J7" s="83"/>
      <c r="K7" s="103">
        <v>1</v>
      </c>
      <c r="L7" s="83"/>
      <c r="M7" s="83"/>
      <c r="N7" s="83"/>
      <c r="O7" s="83"/>
      <c r="P7" s="83"/>
      <c r="Q7" s="103">
        <v>1</v>
      </c>
      <c r="R7" s="83"/>
      <c r="S7" s="83"/>
      <c r="T7" s="83"/>
      <c r="U7" s="83"/>
      <c r="V7" s="107">
        <v>1</v>
      </c>
      <c r="W7" s="104">
        <v>1</v>
      </c>
      <c r="X7" s="103">
        <v>1</v>
      </c>
      <c r="Y7" s="104">
        <v>1</v>
      </c>
      <c r="Z7" s="83"/>
      <c r="AA7" s="83"/>
      <c r="AB7" s="83"/>
      <c r="AC7" s="103">
        <v>1</v>
      </c>
      <c r="AD7" s="83"/>
    </row>
    <row r="8" spans="1:30" ht="39.75" x14ac:dyDescent="0.2">
      <c r="A8" s="102"/>
      <c r="B8" s="78" t="s">
        <v>46</v>
      </c>
      <c r="C8" s="79" t="s">
        <v>67</v>
      </c>
      <c r="D8" s="80"/>
      <c r="E8" s="81">
        <v>7000</v>
      </c>
      <c r="F8" s="82">
        <v>14000</v>
      </c>
      <c r="G8" s="76">
        <v>2</v>
      </c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104">
        <v>1</v>
      </c>
      <c r="V8" s="83"/>
      <c r="W8" s="83"/>
      <c r="X8" s="103"/>
      <c r="Y8" s="83"/>
      <c r="Z8" s="83"/>
      <c r="AA8" s="83"/>
      <c r="AB8" s="83"/>
      <c r="AC8" s="103">
        <v>1</v>
      </c>
      <c r="AD8" s="83"/>
    </row>
    <row r="9" spans="1:30" ht="26.25" x14ac:dyDescent="0.2">
      <c r="A9" s="102"/>
      <c r="B9" s="78" t="s">
        <v>48</v>
      </c>
      <c r="C9" s="79" t="s">
        <v>69</v>
      </c>
      <c r="D9" s="80"/>
      <c r="E9" s="81">
        <v>5500</v>
      </c>
      <c r="F9" s="82">
        <v>99000</v>
      </c>
      <c r="G9" s="76">
        <v>18</v>
      </c>
      <c r="H9" s="103">
        <v>4</v>
      </c>
      <c r="I9" s="104">
        <v>1</v>
      </c>
      <c r="J9" s="103">
        <v>2</v>
      </c>
      <c r="K9" s="83"/>
      <c r="L9" s="104">
        <v>2</v>
      </c>
      <c r="M9" s="83"/>
      <c r="N9" s="103">
        <v>1</v>
      </c>
      <c r="O9" s="83"/>
      <c r="P9" s="83"/>
      <c r="Q9" s="83"/>
      <c r="R9" s="103">
        <v>1</v>
      </c>
      <c r="S9" s="103">
        <v>1</v>
      </c>
      <c r="T9" s="83"/>
      <c r="U9" s="104">
        <v>1</v>
      </c>
      <c r="V9" s="83"/>
      <c r="W9" s="83"/>
      <c r="X9" s="103">
        <v>2</v>
      </c>
      <c r="Y9" s="83"/>
      <c r="Z9" s="83"/>
      <c r="AA9" s="107">
        <v>2</v>
      </c>
      <c r="AB9" s="103">
        <v>1</v>
      </c>
      <c r="AC9" s="83"/>
      <c r="AD9" s="83"/>
    </row>
    <row r="10" spans="1:30" ht="26.25" x14ac:dyDescent="0.2">
      <c r="A10" s="102"/>
      <c r="B10" s="78" t="s">
        <v>50</v>
      </c>
      <c r="C10" s="79" t="s">
        <v>70</v>
      </c>
      <c r="D10" s="80"/>
      <c r="E10" s="81">
        <v>4000</v>
      </c>
      <c r="F10" s="82">
        <v>16000</v>
      </c>
      <c r="G10" s="76">
        <v>4</v>
      </c>
      <c r="H10" s="83"/>
      <c r="I10" s="83"/>
      <c r="J10" s="83"/>
      <c r="K10" s="83"/>
      <c r="L10" s="83"/>
      <c r="M10" s="103">
        <v>1</v>
      </c>
      <c r="N10" s="83"/>
      <c r="O10" s="83"/>
      <c r="P10" s="83"/>
      <c r="Q10" s="83"/>
      <c r="R10" s="83"/>
      <c r="S10" s="83"/>
      <c r="T10" s="107">
        <v>1</v>
      </c>
      <c r="U10" s="83"/>
      <c r="V10" s="83"/>
      <c r="W10" s="83"/>
      <c r="X10" s="103">
        <v>1</v>
      </c>
      <c r="Y10" s="83"/>
      <c r="Z10" s="83"/>
      <c r="AA10" s="83"/>
      <c r="AB10" s="103">
        <v>1</v>
      </c>
      <c r="AC10" s="83"/>
      <c r="AD10" s="83"/>
    </row>
    <row r="11" spans="1:30" ht="27" x14ac:dyDescent="0.2">
      <c r="A11" s="102"/>
      <c r="B11" s="78" t="s">
        <v>52</v>
      </c>
      <c r="C11" s="79" t="s">
        <v>71</v>
      </c>
      <c r="D11" s="80"/>
      <c r="E11" s="81">
        <v>4000</v>
      </c>
      <c r="F11" s="82">
        <v>16000</v>
      </c>
      <c r="G11" s="76">
        <v>4</v>
      </c>
      <c r="H11" s="83"/>
      <c r="I11" s="83"/>
      <c r="J11" s="83"/>
      <c r="K11" s="83"/>
      <c r="L11" s="83"/>
      <c r="M11" s="83"/>
      <c r="N11" s="83"/>
      <c r="O11" s="103">
        <v>1</v>
      </c>
      <c r="P11" s="83"/>
      <c r="Q11" s="83"/>
      <c r="R11" s="103">
        <v>1</v>
      </c>
      <c r="S11" s="83"/>
      <c r="T11" s="83"/>
      <c r="U11" s="104">
        <v>1</v>
      </c>
      <c r="V11" s="83"/>
      <c r="W11" s="83"/>
      <c r="X11" s="103">
        <v>1</v>
      </c>
      <c r="Y11" s="83"/>
      <c r="Z11" s="83"/>
      <c r="AA11" s="83"/>
      <c r="AB11" s="83"/>
      <c r="AC11" s="83"/>
      <c r="AD11" s="83"/>
    </row>
    <row r="12" spans="1:30" ht="39" x14ac:dyDescent="0.2">
      <c r="A12" s="102"/>
      <c r="B12" s="78" t="s">
        <v>54</v>
      </c>
      <c r="C12" s="79" t="s">
        <v>72</v>
      </c>
      <c r="D12" s="80"/>
      <c r="E12" s="81">
        <v>4000</v>
      </c>
      <c r="F12" s="82">
        <v>12000</v>
      </c>
      <c r="G12" s="76">
        <v>3</v>
      </c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107">
        <v>1</v>
      </c>
      <c r="W12" s="83"/>
      <c r="X12" s="83"/>
      <c r="Y12" s="83"/>
      <c r="Z12" s="83"/>
      <c r="AA12" s="107">
        <v>1</v>
      </c>
      <c r="AB12" s="103">
        <v>1</v>
      </c>
      <c r="AC12" s="83"/>
      <c r="AD12" s="83"/>
    </row>
    <row r="13" spans="1:30" ht="26.25" x14ac:dyDescent="0.2">
      <c r="A13" s="102"/>
      <c r="B13" s="78" t="s">
        <v>56</v>
      </c>
      <c r="C13" s="79" t="s">
        <v>71</v>
      </c>
      <c r="D13" s="80"/>
      <c r="E13" s="81">
        <v>5000</v>
      </c>
      <c r="F13" s="82">
        <v>5000</v>
      </c>
      <c r="G13" s="76">
        <v>1</v>
      </c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108">
        <v>1</v>
      </c>
    </row>
    <row r="14" spans="1:30" ht="39" x14ac:dyDescent="0.2">
      <c r="A14" s="102"/>
      <c r="B14" s="78" t="s">
        <v>57</v>
      </c>
      <c r="C14" s="79" t="s">
        <v>65</v>
      </c>
      <c r="D14" s="80"/>
      <c r="E14" s="81">
        <v>7000</v>
      </c>
      <c r="F14" s="82">
        <v>7000</v>
      </c>
      <c r="G14" s="76">
        <v>1</v>
      </c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107">
        <v>1</v>
      </c>
      <c r="AB14" s="83"/>
      <c r="AC14" s="83"/>
      <c r="AD14" s="83"/>
    </row>
    <row r="15" spans="1:30" ht="26.25" x14ac:dyDescent="0.2">
      <c r="A15" s="102"/>
      <c r="B15" s="78" t="s">
        <v>58</v>
      </c>
      <c r="C15" s="79" t="s">
        <v>73</v>
      </c>
      <c r="D15" s="80"/>
      <c r="E15" s="81">
        <v>7000</v>
      </c>
      <c r="F15" s="82">
        <v>21000</v>
      </c>
      <c r="G15" s="76">
        <v>3</v>
      </c>
      <c r="H15" s="83"/>
      <c r="I15" s="83"/>
      <c r="J15" s="103">
        <v>1</v>
      </c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103">
        <v>1</v>
      </c>
      <c r="AA15" s="107">
        <v>1</v>
      </c>
      <c r="AB15" s="83"/>
      <c r="AC15" s="83"/>
      <c r="AD15" s="83"/>
    </row>
    <row r="16" spans="1:30" ht="26.25" x14ac:dyDescent="0.2">
      <c r="A16" s="102"/>
      <c r="B16" s="78" t="s">
        <v>60</v>
      </c>
      <c r="C16" s="79"/>
      <c r="D16" s="80"/>
      <c r="E16" s="81">
        <v>7000</v>
      </c>
      <c r="F16" s="82">
        <v>0</v>
      </c>
      <c r="G16" s="76">
        <v>0</v>
      </c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</row>
    <row r="17" spans="1:30" ht="40.5" x14ac:dyDescent="0.2">
      <c r="A17" s="102"/>
      <c r="B17" s="78" t="s">
        <v>61</v>
      </c>
      <c r="C17" s="79"/>
      <c r="D17" s="80"/>
      <c r="E17" s="81">
        <v>7000</v>
      </c>
      <c r="F17" s="82">
        <v>0</v>
      </c>
      <c r="G17" s="76">
        <v>0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</row>
    <row r="18" spans="1:30" ht="39.75" x14ac:dyDescent="0.2">
      <c r="A18" s="102"/>
      <c r="B18" s="78" t="s">
        <v>62</v>
      </c>
      <c r="C18" s="79"/>
      <c r="D18" s="80"/>
      <c r="E18" s="81">
        <v>7000</v>
      </c>
      <c r="F18" s="82">
        <v>0</v>
      </c>
      <c r="G18" s="76">
        <v>0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</row>
    <row r="19" spans="1:30" ht="27" x14ac:dyDescent="0.2">
      <c r="A19" s="102"/>
      <c r="B19" s="85" t="s">
        <v>63</v>
      </c>
      <c r="C19" s="86"/>
      <c r="D19" s="87"/>
      <c r="E19" s="88">
        <v>7000</v>
      </c>
      <c r="F19" s="89">
        <v>0</v>
      </c>
      <c r="G19" s="76">
        <v>0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</row>
    <row r="20" spans="1:30" x14ac:dyDescent="0.2">
      <c r="A20" s="102"/>
      <c r="B20" s="153" t="s">
        <v>64</v>
      </c>
      <c r="C20" s="154"/>
      <c r="D20" s="155"/>
      <c r="E20" s="159">
        <v>61500</v>
      </c>
      <c r="F20" s="141">
        <v>277500</v>
      </c>
      <c r="G20" s="141">
        <v>50</v>
      </c>
      <c r="H20" s="90">
        <v>4</v>
      </c>
      <c r="I20" s="90">
        <v>1</v>
      </c>
      <c r="J20" s="90">
        <v>4</v>
      </c>
      <c r="K20" s="90">
        <v>1</v>
      </c>
      <c r="L20" s="90">
        <v>2</v>
      </c>
      <c r="M20" s="90">
        <v>2</v>
      </c>
      <c r="N20" s="90">
        <v>1</v>
      </c>
      <c r="O20" s="90">
        <v>1</v>
      </c>
      <c r="P20" s="90">
        <v>1</v>
      </c>
      <c r="Q20" s="90">
        <v>1</v>
      </c>
      <c r="R20" s="90">
        <v>3</v>
      </c>
      <c r="S20" s="90">
        <v>1</v>
      </c>
      <c r="T20" s="90">
        <v>1</v>
      </c>
      <c r="U20" s="90">
        <v>4</v>
      </c>
      <c r="V20" s="90">
        <v>2</v>
      </c>
      <c r="W20" s="90">
        <v>1</v>
      </c>
      <c r="X20" s="90">
        <v>6</v>
      </c>
      <c r="Y20" s="90">
        <v>1</v>
      </c>
      <c r="Z20" s="90">
        <v>1</v>
      </c>
      <c r="AA20" s="90">
        <v>5</v>
      </c>
      <c r="AB20" s="90">
        <v>3</v>
      </c>
      <c r="AC20" s="90">
        <v>3</v>
      </c>
      <c r="AD20" s="90">
        <v>1</v>
      </c>
    </row>
    <row r="21" spans="1:30" x14ac:dyDescent="0.2">
      <c r="A21" s="102"/>
      <c r="B21" s="156"/>
      <c r="C21" s="157"/>
      <c r="D21" s="158"/>
      <c r="E21" s="160"/>
      <c r="F21" s="142"/>
      <c r="G21" s="142"/>
      <c r="H21" s="91">
        <v>22000</v>
      </c>
      <c r="I21" s="92">
        <v>5500</v>
      </c>
      <c r="J21" s="92">
        <v>24000</v>
      </c>
      <c r="K21" s="92">
        <v>6500</v>
      </c>
      <c r="L21" s="92">
        <v>11000</v>
      </c>
      <c r="M21" s="92">
        <v>10000</v>
      </c>
      <c r="N21" s="92">
        <v>5500</v>
      </c>
      <c r="O21" s="92">
        <v>4000</v>
      </c>
      <c r="P21" s="92">
        <v>6000</v>
      </c>
      <c r="Q21" s="92">
        <v>6500</v>
      </c>
      <c r="R21" s="92">
        <v>15500</v>
      </c>
      <c r="S21" s="92">
        <v>5500</v>
      </c>
      <c r="T21" s="92">
        <v>4000</v>
      </c>
      <c r="U21" s="92">
        <v>22500</v>
      </c>
      <c r="V21" s="92">
        <v>10500</v>
      </c>
      <c r="W21" s="92">
        <v>6500</v>
      </c>
      <c r="X21" s="92">
        <v>31500</v>
      </c>
      <c r="Y21" s="92">
        <v>6500</v>
      </c>
      <c r="Z21" s="92">
        <v>7000</v>
      </c>
      <c r="AA21" s="92">
        <v>29000</v>
      </c>
      <c r="AB21" s="92">
        <v>13500</v>
      </c>
      <c r="AC21" s="92">
        <v>19500</v>
      </c>
      <c r="AD21" s="92">
        <v>5000</v>
      </c>
    </row>
  </sheetData>
  <mergeCells count="10">
    <mergeCell ref="B20:D21"/>
    <mergeCell ref="E20:E21"/>
    <mergeCell ref="F20:F21"/>
    <mergeCell ref="G20:G21"/>
    <mergeCell ref="B2:G2"/>
    <mergeCell ref="B4:B5"/>
    <mergeCell ref="C4:C5"/>
    <mergeCell ref="D4:D5"/>
    <mergeCell ref="E4:E5"/>
    <mergeCell ref="F4:F5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1509-8481-4E6A-A890-D5343464F01B}">
  <dimension ref="A1:X20"/>
  <sheetViews>
    <sheetView topLeftCell="F1" workbookViewId="0">
      <selection activeCell="S13" sqref="S13"/>
    </sheetView>
  </sheetViews>
  <sheetFormatPr defaultRowHeight="16.5" x14ac:dyDescent="0.3"/>
  <sheetData>
    <row r="1" spans="1:24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</row>
    <row r="2" spans="1:24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</row>
    <row r="3" spans="1:24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</row>
    <row r="4" spans="1:24" x14ac:dyDescent="0.3">
      <c r="A4" s="144"/>
      <c r="B4" s="146"/>
      <c r="C4" s="148"/>
      <c r="D4" s="150"/>
      <c r="E4" s="152"/>
      <c r="F4" s="69" t="s">
        <v>41</v>
      </c>
      <c r="G4" s="70">
        <v>824</v>
      </c>
      <c r="H4" s="70">
        <v>509</v>
      </c>
      <c r="I4" s="70">
        <v>617</v>
      </c>
      <c r="J4" s="70">
        <v>1221</v>
      </c>
      <c r="K4" s="70">
        <v>1807</v>
      </c>
      <c r="L4" s="70" t="s">
        <v>74</v>
      </c>
      <c r="M4" s="70">
        <v>1102</v>
      </c>
      <c r="N4" s="70">
        <v>1123</v>
      </c>
      <c r="O4" s="70">
        <v>1717</v>
      </c>
      <c r="P4" s="70">
        <v>508</v>
      </c>
      <c r="Q4" s="70">
        <v>1702</v>
      </c>
      <c r="R4" s="70">
        <v>720</v>
      </c>
      <c r="S4" s="70">
        <v>714</v>
      </c>
      <c r="T4" s="70">
        <v>1506</v>
      </c>
      <c r="U4" s="70">
        <v>618</v>
      </c>
      <c r="V4" s="70">
        <v>818</v>
      </c>
      <c r="W4" s="70">
        <v>1720</v>
      </c>
      <c r="X4" s="70">
        <v>611</v>
      </c>
    </row>
    <row r="5" spans="1:24" ht="39.75" x14ac:dyDescent="0.3">
      <c r="A5" s="71" t="s">
        <v>42</v>
      </c>
      <c r="B5" s="72" t="s">
        <v>65</v>
      </c>
      <c r="C5" s="73"/>
      <c r="D5" s="74">
        <v>6000</v>
      </c>
      <c r="E5" s="75">
        <v>24000</v>
      </c>
      <c r="F5" s="76">
        <v>4</v>
      </c>
      <c r="G5" s="77"/>
      <c r="H5" s="77"/>
      <c r="I5" s="77"/>
      <c r="J5" s="106">
        <v>1</v>
      </c>
      <c r="K5" s="77"/>
      <c r="L5" s="77"/>
      <c r="M5" s="77"/>
      <c r="N5" s="106">
        <v>1</v>
      </c>
      <c r="O5" s="77"/>
      <c r="P5" s="77"/>
      <c r="Q5" s="77"/>
      <c r="R5" s="77"/>
      <c r="S5" s="77"/>
      <c r="T5" s="106">
        <v>1</v>
      </c>
      <c r="U5" s="77"/>
      <c r="V5" s="105">
        <v>1</v>
      </c>
      <c r="W5" s="77"/>
      <c r="X5" s="77"/>
    </row>
    <row r="6" spans="1:24" ht="39.75" x14ac:dyDescent="0.3">
      <c r="A6" s="78" t="s">
        <v>44</v>
      </c>
      <c r="B6" s="79" t="s">
        <v>66</v>
      </c>
      <c r="C6" s="80"/>
      <c r="D6" s="81">
        <v>6500</v>
      </c>
      <c r="E6" s="82">
        <v>6500</v>
      </c>
      <c r="F6" s="76">
        <v>1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104">
        <v>1</v>
      </c>
      <c r="T6" s="83"/>
      <c r="U6" s="83"/>
      <c r="V6" s="83"/>
      <c r="W6" s="83"/>
      <c r="X6" s="83"/>
    </row>
    <row r="7" spans="1:24" ht="39.75" x14ac:dyDescent="0.3">
      <c r="A7" s="78" t="s">
        <v>46</v>
      </c>
      <c r="B7" s="79" t="s">
        <v>67</v>
      </c>
      <c r="C7" s="80" t="s">
        <v>75</v>
      </c>
      <c r="D7" s="81">
        <v>7000</v>
      </c>
      <c r="E7" s="82">
        <v>7000</v>
      </c>
      <c r="F7" s="76">
        <v>1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104">
        <v>1</v>
      </c>
      <c r="T7" s="83"/>
      <c r="U7" s="83"/>
      <c r="V7" s="83"/>
      <c r="W7" s="83"/>
      <c r="X7" s="83"/>
    </row>
    <row r="8" spans="1:24" ht="26.25" x14ac:dyDescent="0.3">
      <c r="A8" s="78" t="s">
        <v>48</v>
      </c>
      <c r="B8" s="79" t="s">
        <v>69</v>
      </c>
      <c r="C8" s="80"/>
      <c r="D8" s="81">
        <v>5500</v>
      </c>
      <c r="E8" s="82">
        <v>88000</v>
      </c>
      <c r="F8" s="76">
        <v>16</v>
      </c>
      <c r="G8" s="104">
        <v>1</v>
      </c>
      <c r="H8" s="104">
        <v>1</v>
      </c>
      <c r="I8" s="104">
        <v>2</v>
      </c>
      <c r="J8" s="83"/>
      <c r="K8" s="103">
        <v>1</v>
      </c>
      <c r="L8" s="83"/>
      <c r="M8" s="104">
        <v>2</v>
      </c>
      <c r="N8" s="104">
        <v>2</v>
      </c>
      <c r="O8" s="104">
        <v>2</v>
      </c>
      <c r="P8" s="103">
        <v>2</v>
      </c>
      <c r="Q8" s="83"/>
      <c r="R8" s="83"/>
      <c r="S8" s="83"/>
      <c r="T8" s="83"/>
      <c r="U8" s="103">
        <v>2</v>
      </c>
      <c r="V8" s="83"/>
      <c r="W8" s="103">
        <v>1</v>
      </c>
      <c r="X8" s="83"/>
    </row>
    <row r="9" spans="1:24" ht="26.25" x14ac:dyDescent="0.3">
      <c r="A9" s="78" t="s">
        <v>50</v>
      </c>
      <c r="B9" s="79" t="s">
        <v>70</v>
      </c>
      <c r="C9" s="80"/>
      <c r="D9" s="81">
        <v>4000</v>
      </c>
      <c r="E9" s="82">
        <v>4000</v>
      </c>
      <c r="F9" s="76">
        <v>1</v>
      </c>
      <c r="G9" s="83"/>
      <c r="H9" s="83"/>
      <c r="I9" s="83"/>
      <c r="J9" s="83"/>
      <c r="K9" s="83"/>
      <c r="L9" s="109">
        <v>1</v>
      </c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</row>
    <row r="10" spans="1:24" ht="27" x14ac:dyDescent="0.3">
      <c r="A10" s="78" t="s">
        <v>52</v>
      </c>
      <c r="B10" s="79" t="s">
        <v>71</v>
      </c>
      <c r="C10" s="80"/>
      <c r="D10" s="81">
        <v>4000</v>
      </c>
      <c r="E10" s="82">
        <v>4000</v>
      </c>
      <c r="F10" s="76">
        <v>1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104">
        <v>1</v>
      </c>
      <c r="T10" s="83"/>
      <c r="U10" s="83"/>
      <c r="V10" s="83"/>
      <c r="W10" s="83"/>
      <c r="X10" s="83"/>
    </row>
    <row r="11" spans="1:24" ht="39" x14ac:dyDescent="0.3">
      <c r="A11" s="78" t="s">
        <v>54</v>
      </c>
      <c r="B11" s="79" t="s">
        <v>72</v>
      </c>
      <c r="C11" s="80"/>
      <c r="D11" s="81">
        <v>4000</v>
      </c>
      <c r="E11" s="82">
        <v>8000</v>
      </c>
      <c r="F11" s="76">
        <v>2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107">
        <v>1</v>
      </c>
      <c r="S11" s="83"/>
      <c r="T11" s="83"/>
      <c r="U11" s="83"/>
      <c r="V11" s="83"/>
      <c r="W11" s="83"/>
      <c r="X11" s="111">
        <v>1</v>
      </c>
    </row>
    <row r="12" spans="1:24" ht="26.25" x14ac:dyDescent="0.3">
      <c r="A12" s="78" t="s">
        <v>56</v>
      </c>
      <c r="B12" s="79" t="s">
        <v>71</v>
      </c>
      <c r="C12" s="80"/>
      <c r="D12" s="81">
        <v>5000</v>
      </c>
      <c r="E12" s="82">
        <v>10000</v>
      </c>
      <c r="F12" s="76">
        <v>2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110">
        <v>1</v>
      </c>
      <c r="R12" s="84"/>
      <c r="S12" s="84"/>
      <c r="T12" s="84"/>
      <c r="U12" s="84"/>
      <c r="V12" s="84"/>
      <c r="W12" s="110">
        <v>1</v>
      </c>
      <c r="X12" s="84"/>
    </row>
    <row r="13" spans="1:24" ht="39" x14ac:dyDescent="0.3">
      <c r="A13" s="78" t="s">
        <v>57</v>
      </c>
      <c r="B13" s="79" t="s">
        <v>65</v>
      </c>
      <c r="C13" s="80"/>
      <c r="D13" s="81">
        <v>7000</v>
      </c>
      <c r="E13" s="82">
        <v>7000</v>
      </c>
      <c r="F13" s="76">
        <v>1</v>
      </c>
      <c r="G13" s="83"/>
      <c r="H13" s="83"/>
      <c r="I13" s="83"/>
      <c r="J13" s="83"/>
      <c r="K13" s="83"/>
      <c r="L13" s="83"/>
      <c r="M13" s="83"/>
      <c r="N13" s="83"/>
      <c r="O13" s="83"/>
      <c r="P13" s="103">
        <v>1</v>
      </c>
      <c r="Q13" s="83"/>
      <c r="R13" s="83"/>
      <c r="S13" s="83"/>
      <c r="T13" s="83"/>
      <c r="U13" s="83"/>
      <c r="V13" s="83"/>
      <c r="W13" s="83"/>
      <c r="X13" s="83"/>
    </row>
    <row r="14" spans="1:24" ht="26.25" x14ac:dyDescent="0.3">
      <c r="A14" s="78" t="s">
        <v>58</v>
      </c>
      <c r="B14" s="79" t="s">
        <v>73</v>
      </c>
      <c r="C14" s="80"/>
      <c r="D14" s="81">
        <v>7000</v>
      </c>
      <c r="E14" s="82">
        <v>0</v>
      </c>
      <c r="F14" s="76">
        <v>0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</row>
    <row r="15" spans="1:24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</row>
    <row r="16" spans="1:24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</row>
    <row r="17" spans="1:24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</row>
    <row r="19" spans="1:24" x14ac:dyDescent="0.3">
      <c r="A19" s="153" t="s">
        <v>64</v>
      </c>
      <c r="B19" s="154"/>
      <c r="C19" s="155"/>
      <c r="D19" s="159">
        <v>61500</v>
      </c>
      <c r="E19" s="141">
        <v>158500</v>
      </c>
      <c r="F19" s="141">
        <v>29</v>
      </c>
      <c r="G19" s="90">
        <v>1</v>
      </c>
      <c r="H19" s="90">
        <v>1</v>
      </c>
      <c r="I19" s="90">
        <v>2</v>
      </c>
      <c r="J19" s="90">
        <v>1</v>
      </c>
      <c r="K19" s="90">
        <v>1</v>
      </c>
      <c r="L19" s="90">
        <v>1</v>
      </c>
      <c r="M19" s="90">
        <v>2</v>
      </c>
      <c r="N19" s="90">
        <v>3</v>
      </c>
      <c r="O19" s="90">
        <v>2</v>
      </c>
      <c r="P19" s="90">
        <v>3</v>
      </c>
      <c r="Q19" s="90">
        <v>1</v>
      </c>
      <c r="R19" s="90">
        <v>1</v>
      </c>
      <c r="S19" s="90">
        <v>3</v>
      </c>
      <c r="T19" s="90">
        <v>1</v>
      </c>
      <c r="U19" s="90">
        <v>2</v>
      </c>
      <c r="V19" s="90">
        <v>1</v>
      </c>
      <c r="W19" s="90">
        <v>2</v>
      </c>
      <c r="X19" s="90">
        <v>1</v>
      </c>
    </row>
    <row r="20" spans="1:24" x14ac:dyDescent="0.3">
      <c r="A20" s="156"/>
      <c r="B20" s="157"/>
      <c r="C20" s="158"/>
      <c r="D20" s="160"/>
      <c r="E20" s="142"/>
      <c r="F20" s="142"/>
      <c r="G20" s="91">
        <v>5500</v>
      </c>
      <c r="H20" s="92">
        <v>5500</v>
      </c>
      <c r="I20" s="92">
        <v>11000</v>
      </c>
      <c r="J20" s="92">
        <v>6000</v>
      </c>
      <c r="K20" s="92">
        <v>5500</v>
      </c>
      <c r="L20" s="92">
        <v>4000</v>
      </c>
      <c r="M20" s="92">
        <v>11000</v>
      </c>
      <c r="N20" s="92">
        <v>17000</v>
      </c>
      <c r="O20" s="92">
        <v>11000</v>
      </c>
      <c r="P20" s="92">
        <v>18000</v>
      </c>
      <c r="Q20" s="92">
        <v>5000</v>
      </c>
      <c r="R20" s="92">
        <v>4000</v>
      </c>
      <c r="S20" s="92">
        <v>17500</v>
      </c>
      <c r="T20" s="92">
        <v>6000</v>
      </c>
      <c r="U20" s="92">
        <v>11000</v>
      </c>
      <c r="V20" s="92">
        <v>6000</v>
      </c>
      <c r="W20" s="92">
        <v>10500</v>
      </c>
      <c r="X20" s="92">
        <v>4000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ADEE-BFB2-4BA8-976A-02E6ECE19C9C}">
  <dimension ref="A1:AA20"/>
  <sheetViews>
    <sheetView topLeftCell="G6" workbookViewId="0">
      <selection activeCell="U13" sqref="U13"/>
    </sheetView>
  </sheetViews>
  <sheetFormatPr defaultRowHeight="16.5" x14ac:dyDescent="0.3"/>
  <sheetData>
    <row r="1" spans="1:27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  <c r="Z1" s="64"/>
      <c r="AA1" s="64"/>
    </row>
    <row r="2" spans="1:27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  <c r="Z2" s="64"/>
      <c r="AA2" s="64"/>
    </row>
    <row r="3" spans="1:27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  <c r="AA3" s="68">
        <v>21</v>
      </c>
    </row>
    <row r="4" spans="1:27" x14ac:dyDescent="0.3">
      <c r="A4" s="144"/>
      <c r="B4" s="146"/>
      <c r="C4" s="148"/>
      <c r="D4" s="150"/>
      <c r="E4" s="152"/>
      <c r="F4" s="69" t="s">
        <v>41</v>
      </c>
      <c r="G4" s="70">
        <v>1401</v>
      </c>
      <c r="H4" s="70">
        <v>827</v>
      </c>
      <c r="I4" s="70">
        <v>627</v>
      </c>
      <c r="J4" s="70">
        <v>1701</v>
      </c>
      <c r="K4" s="70">
        <v>1429</v>
      </c>
      <c r="L4" s="70">
        <v>824</v>
      </c>
      <c r="M4" s="70">
        <v>710</v>
      </c>
      <c r="N4" s="70">
        <v>1806</v>
      </c>
      <c r="O4" s="70">
        <v>1731</v>
      </c>
      <c r="P4" s="70">
        <v>611</v>
      </c>
      <c r="Q4" s="70">
        <v>1102</v>
      </c>
      <c r="R4" s="70">
        <v>714</v>
      </c>
      <c r="S4" s="70">
        <v>1622</v>
      </c>
      <c r="T4" s="70">
        <v>1228</v>
      </c>
      <c r="U4" s="70">
        <v>717</v>
      </c>
      <c r="V4" s="70">
        <v>1014</v>
      </c>
      <c r="W4" s="70">
        <v>1631</v>
      </c>
      <c r="X4" s="70">
        <v>1723</v>
      </c>
      <c r="Y4" s="70">
        <v>1415</v>
      </c>
      <c r="Z4" s="70">
        <v>1220</v>
      </c>
      <c r="AA4" s="70">
        <v>1726</v>
      </c>
    </row>
    <row r="5" spans="1:27" ht="39.75" x14ac:dyDescent="0.3">
      <c r="A5" s="71" t="s">
        <v>42</v>
      </c>
      <c r="B5" s="72" t="s">
        <v>65</v>
      </c>
      <c r="C5" s="73"/>
      <c r="D5" s="74">
        <v>6000</v>
      </c>
      <c r="E5" s="75">
        <v>18000</v>
      </c>
      <c r="F5" s="76">
        <v>3</v>
      </c>
      <c r="G5" s="77"/>
      <c r="H5" s="77"/>
      <c r="I5" s="77"/>
      <c r="J5" s="77"/>
      <c r="K5" s="106">
        <v>1</v>
      </c>
      <c r="L5" s="77"/>
      <c r="M5" s="77"/>
      <c r="N5" s="77"/>
      <c r="O5" s="77"/>
      <c r="P5" s="77"/>
      <c r="Q5" s="77"/>
      <c r="R5" s="105">
        <v>1</v>
      </c>
      <c r="S5" s="77"/>
      <c r="T5" s="77"/>
      <c r="U5" s="77"/>
      <c r="V5" s="77"/>
      <c r="W5" s="77"/>
      <c r="X5" s="77"/>
      <c r="Y5" s="77"/>
      <c r="Z5" s="77"/>
      <c r="AA5" s="105">
        <v>1</v>
      </c>
    </row>
    <row r="6" spans="1:27" ht="39.75" x14ac:dyDescent="0.3">
      <c r="A6" s="78" t="s">
        <v>44</v>
      </c>
      <c r="B6" s="79" t="s">
        <v>66</v>
      </c>
      <c r="C6" s="80"/>
      <c r="D6" s="81">
        <v>6500</v>
      </c>
      <c r="E6" s="82">
        <v>19500</v>
      </c>
      <c r="F6" s="76">
        <v>3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103">
        <v>1</v>
      </c>
      <c r="S6" s="83"/>
      <c r="T6" s="83"/>
      <c r="U6" s="83"/>
      <c r="V6" s="83"/>
      <c r="W6" s="83"/>
      <c r="X6" s="83"/>
      <c r="Y6" s="83"/>
      <c r="Z6" s="103">
        <v>1</v>
      </c>
      <c r="AA6" s="103">
        <v>1</v>
      </c>
    </row>
    <row r="7" spans="1:27" ht="39.75" x14ac:dyDescent="0.3">
      <c r="A7" s="78" t="s">
        <v>46</v>
      </c>
      <c r="B7" s="79" t="s">
        <v>76</v>
      </c>
      <c r="C7" s="80"/>
      <c r="D7" s="81">
        <v>7000</v>
      </c>
      <c r="E7" s="82">
        <v>7000</v>
      </c>
      <c r="F7" s="76">
        <v>1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107">
        <v>1</v>
      </c>
      <c r="X7" s="83"/>
      <c r="Y7" s="83"/>
      <c r="Z7" s="83"/>
      <c r="AA7" s="83"/>
    </row>
    <row r="8" spans="1:27" ht="26.25" x14ac:dyDescent="0.3">
      <c r="A8" s="78" t="s">
        <v>48</v>
      </c>
      <c r="B8" s="79" t="s">
        <v>69</v>
      </c>
      <c r="C8" s="80"/>
      <c r="D8" s="81">
        <v>5500</v>
      </c>
      <c r="E8" s="82">
        <v>115500</v>
      </c>
      <c r="F8" s="76">
        <v>21</v>
      </c>
      <c r="G8" s="104">
        <v>2</v>
      </c>
      <c r="H8" s="83"/>
      <c r="I8" s="104">
        <v>1</v>
      </c>
      <c r="J8" s="104">
        <v>1</v>
      </c>
      <c r="K8" s="104">
        <v>1</v>
      </c>
      <c r="L8" s="104">
        <v>2</v>
      </c>
      <c r="M8" s="83"/>
      <c r="N8" s="103">
        <v>2</v>
      </c>
      <c r="O8" s="107">
        <v>1</v>
      </c>
      <c r="P8" s="83"/>
      <c r="Q8" s="104">
        <v>2</v>
      </c>
      <c r="R8" s="103">
        <v>2</v>
      </c>
      <c r="S8" s="104">
        <v>1</v>
      </c>
      <c r="T8" s="103">
        <v>1</v>
      </c>
      <c r="U8" s="103">
        <v>2</v>
      </c>
      <c r="V8" s="107">
        <v>2</v>
      </c>
      <c r="W8" s="107">
        <v>1</v>
      </c>
      <c r="X8" s="83"/>
      <c r="Y8" s="83"/>
      <c r="Z8" s="83"/>
      <c r="AA8" s="83"/>
    </row>
    <row r="9" spans="1:27" ht="26.25" x14ac:dyDescent="0.3">
      <c r="A9" s="78" t="s">
        <v>50</v>
      </c>
      <c r="B9" s="79" t="s">
        <v>70</v>
      </c>
      <c r="C9" s="80"/>
      <c r="D9" s="81">
        <v>4000</v>
      </c>
      <c r="E9" s="82">
        <v>12000</v>
      </c>
      <c r="F9" s="76">
        <v>3</v>
      </c>
      <c r="G9" s="83"/>
      <c r="H9" s="83"/>
      <c r="I9" s="83"/>
      <c r="J9" s="83"/>
      <c r="K9" s="83"/>
      <c r="L9" s="83"/>
      <c r="M9" s="83"/>
      <c r="N9" s="103">
        <v>1</v>
      </c>
      <c r="O9" s="83"/>
      <c r="P9" s="83"/>
      <c r="Q9" s="83"/>
      <c r="R9" s="103">
        <v>1</v>
      </c>
      <c r="S9" s="83"/>
      <c r="T9" s="83"/>
      <c r="U9" s="103">
        <v>1</v>
      </c>
      <c r="V9" s="83"/>
      <c r="W9" s="83"/>
      <c r="X9" s="83"/>
      <c r="Y9" s="83"/>
      <c r="Z9" s="83"/>
      <c r="AA9" s="83"/>
    </row>
    <row r="10" spans="1:27" ht="27" x14ac:dyDescent="0.3">
      <c r="A10" s="78" t="s">
        <v>52</v>
      </c>
      <c r="B10" s="79" t="s">
        <v>71</v>
      </c>
      <c r="C10" s="80"/>
      <c r="D10" s="81">
        <v>4000</v>
      </c>
      <c r="E10" s="82">
        <v>16000</v>
      </c>
      <c r="F10" s="76">
        <v>4</v>
      </c>
      <c r="G10" s="83"/>
      <c r="H10" s="83"/>
      <c r="I10" s="83"/>
      <c r="J10" s="83"/>
      <c r="K10" s="104">
        <v>1</v>
      </c>
      <c r="L10" s="83"/>
      <c r="M10" s="104">
        <v>1</v>
      </c>
      <c r="N10" s="83"/>
      <c r="O10" s="83"/>
      <c r="P10" s="103">
        <v>1</v>
      </c>
      <c r="Q10" s="83"/>
      <c r="R10" s="83"/>
      <c r="S10" s="83"/>
      <c r="T10" s="83"/>
      <c r="U10" s="83"/>
      <c r="V10" s="83"/>
      <c r="W10" s="83"/>
      <c r="X10" s="103">
        <v>1</v>
      </c>
      <c r="Y10" s="83"/>
      <c r="Z10" s="83"/>
      <c r="AA10" s="83"/>
    </row>
    <row r="11" spans="1:27" ht="39" x14ac:dyDescent="0.3">
      <c r="A11" s="78" t="s">
        <v>54</v>
      </c>
      <c r="B11" s="79" t="s">
        <v>72</v>
      </c>
      <c r="C11" s="80"/>
      <c r="D11" s="81">
        <v>4000</v>
      </c>
      <c r="E11" s="82">
        <v>8000</v>
      </c>
      <c r="F11" s="76">
        <v>2</v>
      </c>
      <c r="G11" s="83"/>
      <c r="H11" s="104">
        <v>1</v>
      </c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107">
        <v>1</v>
      </c>
      <c r="X11" s="83"/>
      <c r="Y11" s="83"/>
      <c r="Z11" s="83"/>
      <c r="AA11" s="83"/>
    </row>
    <row r="12" spans="1:27" ht="26.25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</row>
    <row r="13" spans="1:27" ht="39" x14ac:dyDescent="0.3">
      <c r="A13" s="78" t="s">
        <v>57</v>
      </c>
      <c r="B13" s="79" t="s">
        <v>65</v>
      </c>
      <c r="C13" s="80"/>
      <c r="D13" s="81">
        <v>7000</v>
      </c>
      <c r="E13" s="82">
        <v>7000</v>
      </c>
      <c r="F13" s="76">
        <v>1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107">
        <v>1</v>
      </c>
      <c r="X13" s="83"/>
      <c r="Y13" s="83"/>
      <c r="Z13" s="83"/>
      <c r="AA13" s="83"/>
    </row>
    <row r="14" spans="1:27" ht="26.25" x14ac:dyDescent="0.3">
      <c r="A14" s="78" t="s">
        <v>58</v>
      </c>
      <c r="B14" s="79" t="s">
        <v>73</v>
      </c>
      <c r="C14" s="80" t="s">
        <v>77</v>
      </c>
      <c r="D14" s="81">
        <v>7000</v>
      </c>
      <c r="E14" s="82">
        <v>14000</v>
      </c>
      <c r="F14" s="76">
        <v>2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107">
        <v>1</v>
      </c>
      <c r="X14" s="83"/>
      <c r="Y14" s="107">
        <v>1</v>
      </c>
      <c r="Z14" s="83"/>
      <c r="AA14" s="83"/>
    </row>
    <row r="15" spans="1:27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 spans="1:27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</row>
    <row r="17" spans="1:27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</row>
    <row r="18" spans="1:27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</row>
    <row r="19" spans="1:27" x14ac:dyDescent="0.3">
      <c r="A19" s="153" t="s">
        <v>64</v>
      </c>
      <c r="B19" s="154"/>
      <c r="C19" s="155"/>
      <c r="D19" s="159">
        <v>61500</v>
      </c>
      <c r="E19" s="141">
        <v>217000</v>
      </c>
      <c r="F19" s="141">
        <v>40</v>
      </c>
      <c r="G19" s="90">
        <v>2</v>
      </c>
      <c r="H19" s="90">
        <v>1</v>
      </c>
      <c r="I19" s="90">
        <v>1</v>
      </c>
      <c r="J19" s="90">
        <v>1</v>
      </c>
      <c r="K19" s="90">
        <v>3</v>
      </c>
      <c r="L19" s="90">
        <v>2</v>
      </c>
      <c r="M19" s="90">
        <v>1</v>
      </c>
      <c r="N19" s="90">
        <v>3</v>
      </c>
      <c r="O19" s="90">
        <v>1</v>
      </c>
      <c r="P19" s="90">
        <v>1</v>
      </c>
      <c r="Q19" s="90">
        <v>2</v>
      </c>
      <c r="R19" s="90">
        <v>5</v>
      </c>
      <c r="S19" s="90">
        <v>1</v>
      </c>
      <c r="T19" s="90">
        <v>1</v>
      </c>
      <c r="U19" s="90">
        <v>3</v>
      </c>
      <c r="V19" s="90">
        <v>2</v>
      </c>
      <c r="W19" s="90">
        <v>5</v>
      </c>
      <c r="X19" s="90">
        <v>1</v>
      </c>
      <c r="Y19" s="90">
        <v>1</v>
      </c>
      <c r="Z19" s="90">
        <v>1</v>
      </c>
      <c r="AA19" s="90">
        <v>2</v>
      </c>
    </row>
    <row r="20" spans="1:27" x14ac:dyDescent="0.3">
      <c r="A20" s="156"/>
      <c r="B20" s="157"/>
      <c r="C20" s="158"/>
      <c r="D20" s="160"/>
      <c r="E20" s="142"/>
      <c r="F20" s="142"/>
      <c r="G20" s="91">
        <v>11000</v>
      </c>
      <c r="H20" s="92">
        <v>4000</v>
      </c>
      <c r="I20" s="92">
        <v>5500</v>
      </c>
      <c r="J20" s="92">
        <v>5500</v>
      </c>
      <c r="K20" s="92">
        <v>15500</v>
      </c>
      <c r="L20" s="92">
        <v>11000</v>
      </c>
      <c r="M20" s="92">
        <v>4000</v>
      </c>
      <c r="N20" s="92">
        <v>15000</v>
      </c>
      <c r="O20" s="92">
        <v>5500</v>
      </c>
      <c r="P20" s="92">
        <v>4000</v>
      </c>
      <c r="Q20" s="92">
        <v>11000</v>
      </c>
      <c r="R20" s="92">
        <v>27500</v>
      </c>
      <c r="S20" s="92">
        <v>5500</v>
      </c>
      <c r="T20" s="92">
        <v>5500</v>
      </c>
      <c r="U20" s="92">
        <v>15000</v>
      </c>
      <c r="V20" s="92">
        <v>11000</v>
      </c>
      <c r="W20" s="92">
        <v>30500</v>
      </c>
      <c r="X20" s="92">
        <v>4000</v>
      </c>
      <c r="Y20" s="92">
        <v>7000</v>
      </c>
      <c r="Z20" s="92">
        <v>6500</v>
      </c>
      <c r="AA20" s="92">
        <v>12500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A7B4-B947-4695-818D-A19AC1157894}">
  <dimension ref="A1:AF20"/>
  <sheetViews>
    <sheetView topLeftCell="A3" workbookViewId="0">
      <selection activeCell="Y11" sqref="Y11"/>
    </sheetView>
  </sheetViews>
  <sheetFormatPr defaultRowHeight="16.5" x14ac:dyDescent="0.3"/>
  <sheetData>
    <row r="1" spans="1:32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</row>
    <row r="2" spans="1:32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</row>
    <row r="3" spans="1:32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  <c r="AA3" s="68">
        <v>21</v>
      </c>
      <c r="AB3" s="68">
        <v>22</v>
      </c>
      <c r="AC3" s="68">
        <v>23</v>
      </c>
      <c r="AD3" s="68">
        <v>24</v>
      </c>
      <c r="AE3" s="68">
        <v>25</v>
      </c>
      <c r="AF3" s="68">
        <v>26</v>
      </c>
    </row>
    <row r="4" spans="1:32" x14ac:dyDescent="0.3">
      <c r="A4" s="144"/>
      <c r="B4" s="146"/>
      <c r="C4" s="148"/>
      <c r="D4" s="150"/>
      <c r="E4" s="152"/>
      <c r="F4" s="69" t="s">
        <v>41</v>
      </c>
      <c r="G4" s="70">
        <v>931</v>
      </c>
      <c r="H4" s="70">
        <v>1127</v>
      </c>
      <c r="I4" s="70">
        <v>1506</v>
      </c>
      <c r="J4" s="70">
        <v>1425</v>
      </c>
      <c r="K4" s="70">
        <v>1626</v>
      </c>
      <c r="L4" s="70">
        <v>1015</v>
      </c>
      <c r="M4" s="70">
        <v>824</v>
      </c>
      <c r="N4" s="70">
        <v>1206</v>
      </c>
      <c r="O4" s="70">
        <v>1415</v>
      </c>
      <c r="P4" s="70">
        <v>1018</v>
      </c>
      <c r="Q4" s="70">
        <v>1717</v>
      </c>
      <c r="R4" s="70">
        <v>1525</v>
      </c>
      <c r="S4" s="70">
        <v>1223</v>
      </c>
      <c r="T4" s="70">
        <v>1103</v>
      </c>
      <c r="U4" s="70">
        <v>611</v>
      </c>
      <c r="V4" s="70">
        <v>1029</v>
      </c>
      <c r="W4" s="70">
        <v>916</v>
      </c>
      <c r="X4" s="70">
        <v>1605</v>
      </c>
      <c r="Y4" s="70">
        <v>1030</v>
      </c>
      <c r="Z4" s="70">
        <v>1406</v>
      </c>
      <c r="AA4" s="70">
        <v>717</v>
      </c>
      <c r="AB4" s="70">
        <v>1229</v>
      </c>
      <c r="AC4" s="70">
        <v>706</v>
      </c>
      <c r="AD4" s="70">
        <v>1121</v>
      </c>
      <c r="AE4" s="70">
        <v>1130</v>
      </c>
      <c r="AF4" s="70">
        <v>617</v>
      </c>
    </row>
    <row r="5" spans="1:32" ht="39.75" x14ac:dyDescent="0.3">
      <c r="A5" s="71" t="s">
        <v>42</v>
      </c>
      <c r="B5" s="72" t="s">
        <v>65</v>
      </c>
      <c r="C5" s="73"/>
      <c r="D5" s="74">
        <v>6000</v>
      </c>
      <c r="E5" s="75">
        <v>12000</v>
      </c>
      <c r="F5" s="76">
        <v>2</v>
      </c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106">
        <v>1</v>
      </c>
      <c r="AB5" s="77"/>
      <c r="AC5" s="77"/>
      <c r="AD5" s="77"/>
      <c r="AE5" s="106">
        <v>1</v>
      </c>
      <c r="AF5" s="77"/>
    </row>
    <row r="6" spans="1:32" ht="39.75" x14ac:dyDescent="0.3">
      <c r="A6" s="78" t="s">
        <v>44</v>
      </c>
      <c r="B6" s="79" t="s">
        <v>66</v>
      </c>
      <c r="C6" s="80"/>
      <c r="D6" s="81">
        <v>6500</v>
      </c>
      <c r="E6" s="82">
        <v>26000</v>
      </c>
      <c r="F6" s="76">
        <v>4</v>
      </c>
      <c r="G6" s="83"/>
      <c r="H6" s="83"/>
      <c r="I6" s="104">
        <v>1</v>
      </c>
      <c r="J6" s="83"/>
      <c r="K6" s="83"/>
      <c r="L6" s="104">
        <v>1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104">
        <v>1</v>
      </c>
      <c r="X6" s="83"/>
      <c r="Y6" s="83"/>
      <c r="Z6" s="83"/>
      <c r="AA6" s="83"/>
      <c r="AB6" s="83"/>
      <c r="AC6" s="104">
        <v>1</v>
      </c>
      <c r="AD6" s="83"/>
      <c r="AE6" s="83"/>
      <c r="AF6" s="83"/>
    </row>
    <row r="7" spans="1:32" ht="39.75" x14ac:dyDescent="0.3">
      <c r="A7" s="78" t="s">
        <v>46</v>
      </c>
      <c r="B7" s="79" t="s">
        <v>76</v>
      </c>
      <c r="C7" s="80"/>
      <c r="D7" s="81">
        <v>7000</v>
      </c>
      <c r="E7" s="82">
        <v>35000</v>
      </c>
      <c r="F7" s="76">
        <v>5</v>
      </c>
      <c r="G7" s="83"/>
      <c r="H7" s="83"/>
      <c r="I7" s="83"/>
      <c r="J7" s="83"/>
      <c r="K7" s="83"/>
      <c r="L7" s="104">
        <v>1</v>
      </c>
      <c r="M7" s="104">
        <v>1</v>
      </c>
      <c r="N7" s="103">
        <v>1</v>
      </c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104">
        <v>1</v>
      </c>
      <c r="AB7" s="83"/>
      <c r="AC7" s="104">
        <v>1</v>
      </c>
      <c r="AD7" s="83"/>
      <c r="AE7" s="83"/>
      <c r="AF7" s="83"/>
    </row>
    <row r="8" spans="1:32" ht="26.25" x14ac:dyDescent="0.3">
      <c r="A8" s="78" t="s">
        <v>48</v>
      </c>
      <c r="B8" s="79" t="s">
        <v>69</v>
      </c>
      <c r="C8" s="80"/>
      <c r="D8" s="81">
        <v>5500</v>
      </c>
      <c r="E8" s="82">
        <v>88000</v>
      </c>
      <c r="F8" s="76">
        <v>16</v>
      </c>
      <c r="G8" s="83"/>
      <c r="H8" s="83"/>
      <c r="I8" s="83"/>
      <c r="J8" s="83"/>
      <c r="K8" s="83"/>
      <c r="L8" s="104">
        <v>1</v>
      </c>
      <c r="M8" s="83"/>
      <c r="N8" s="83"/>
      <c r="O8" s="103">
        <v>1</v>
      </c>
      <c r="P8" s="104">
        <v>2</v>
      </c>
      <c r="Q8" s="104">
        <v>2</v>
      </c>
      <c r="R8" s="104">
        <v>1</v>
      </c>
      <c r="S8" s="83"/>
      <c r="T8" s="107">
        <v>1</v>
      </c>
      <c r="U8" s="104">
        <v>2</v>
      </c>
      <c r="V8" s="104">
        <v>1</v>
      </c>
      <c r="W8" s="83"/>
      <c r="X8" s="83"/>
      <c r="Y8" s="83"/>
      <c r="Z8" s="107">
        <v>1</v>
      </c>
      <c r="AA8" s="104">
        <v>2</v>
      </c>
      <c r="AB8" s="104">
        <v>1</v>
      </c>
      <c r="AC8" s="83"/>
      <c r="AD8" s="83"/>
      <c r="AE8" s="83"/>
      <c r="AF8" s="107">
        <v>1</v>
      </c>
    </row>
    <row r="9" spans="1:32" ht="26.25" x14ac:dyDescent="0.3">
      <c r="A9" s="78" t="s">
        <v>50</v>
      </c>
      <c r="B9" s="79" t="s">
        <v>70</v>
      </c>
      <c r="C9" s="80"/>
      <c r="D9" s="81">
        <v>4000</v>
      </c>
      <c r="E9" s="82">
        <v>12000</v>
      </c>
      <c r="F9" s="76">
        <v>3</v>
      </c>
      <c r="G9" s="83"/>
      <c r="H9" s="83"/>
      <c r="I9" s="83"/>
      <c r="J9" s="103">
        <v>1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103">
        <v>1</v>
      </c>
      <c r="Y9" s="103">
        <v>1</v>
      </c>
      <c r="Z9" s="83"/>
      <c r="AA9" s="83"/>
      <c r="AB9" s="83"/>
      <c r="AC9" s="83"/>
      <c r="AD9" s="83"/>
      <c r="AE9" s="83"/>
      <c r="AF9" s="83"/>
    </row>
    <row r="10" spans="1:32" ht="27" x14ac:dyDescent="0.3">
      <c r="A10" s="78" t="s">
        <v>52</v>
      </c>
      <c r="B10" s="79" t="s">
        <v>71</v>
      </c>
      <c r="C10" s="80"/>
      <c r="D10" s="81">
        <v>4000</v>
      </c>
      <c r="E10" s="82">
        <v>4000</v>
      </c>
      <c r="F10" s="76">
        <v>1</v>
      </c>
      <c r="G10" s="83"/>
      <c r="H10" s="83"/>
      <c r="I10" s="83"/>
      <c r="J10" s="103">
        <v>1</v>
      </c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</row>
    <row r="11" spans="1:32" ht="39" x14ac:dyDescent="0.3">
      <c r="A11" s="78" t="s">
        <v>54</v>
      </c>
      <c r="B11" s="79" t="s">
        <v>72</v>
      </c>
      <c r="C11" s="80"/>
      <c r="D11" s="81">
        <v>4000</v>
      </c>
      <c r="E11" s="82">
        <v>4000</v>
      </c>
      <c r="F11" s="76">
        <v>1</v>
      </c>
      <c r="G11" s="83"/>
      <c r="H11" s="83"/>
      <c r="I11" s="83"/>
      <c r="J11" s="83"/>
      <c r="K11" s="103">
        <v>1</v>
      </c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</row>
    <row r="12" spans="1:32" ht="26.25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</row>
    <row r="13" spans="1:32" ht="39" x14ac:dyDescent="0.3">
      <c r="A13" s="78" t="s">
        <v>57</v>
      </c>
      <c r="B13" s="79" t="s">
        <v>65</v>
      </c>
      <c r="C13" s="80"/>
      <c r="D13" s="81">
        <v>7000</v>
      </c>
      <c r="E13" s="82">
        <v>21000</v>
      </c>
      <c r="F13" s="76">
        <v>3</v>
      </c>
      <c r="G13" s="83"/>
      <c r="H13" s="103">
        <v>1</v>
      </c>
      <c r="I13" s="83"/>
      <c r="J13" s="83"/>
      <c r="K13" s="83"/>
      <c r="L13" s="83"/>
      <c r="M13" s="83"/>
      <c r="N13" s="103">
        <v>1</v>
      </c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107">
        <v>1</v>
      </c>
    </row>
    <row r="14" spans="1:32" ht="26.25" x14ac:dyDescent="0.3">
      <c r="A14" s="78" t="s">
        <v>58</v>
      </c>
      <c r="B14" s="79" t="s">
        <v>77</v>
      </c>
      <c r="C14" s="80"/>
      <c r="D14" s="81">
        <v>7000</v>
      </c>
      <c r="E14" s="82">
        <v>28000</v>
      </c>
      <c r="F14" s="76">
        <v>4</v>
      </c>
      <c r="G14" s="103">
        <v>1</v>
      </c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103">
        <v>1</v>
      </c>
      <c r="T14" s="83"/>
      <c r="U14" s="83"/>
      <c r="V14" s="83"/>
      <c r="W14" s="83"/>
      <c r="X14" s="103">
        <v>1</v>
      </c>
      <c r="Y14" s="83"/>
      <c r="Z14" s="83"/>
      <c r="AA14" s="83"/>
      <c r="AB14" s="83"/>
      <c r="AC14" s="83"/>
      <c r="AD14" s="104">
        <v>1</v>
      </c>
      <c r="AE14" s="83"/>
      <c r="AF14" s="83"/>
    </row>
    <row r="15" spans="1:32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</row>
    <row r="16" spans="1:32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</row>
    <row r="17" spans="1:32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</row>
    <row r="18" spans="1:32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</row>
    <row r="19" spans="1:32" x14ac:dyDescent="0.3">
      <c r="A19" s="153" t="s">
        <v>64</v>
      </c>
      <c r="B19" s="154"/>
      <c r="C19" s="155"/>
      <c r="D19" s="159">
        <v>61500</v>
      </c>
      <c r="E19" s="141">
        <v>230000</v>
      </c>
      <c r="F19" s="141">
        <v>39</v>
      </c>
      <c r="G19" s="90">
        <v>1</v>
      </c>
      <c r="H19" s="90">
        <v>1</v>
      </c>
      <c r="I19" s="90">
        <v>1</v>
      </c>
      <c r="J19" s="90">
        <v>2</v>
      </c>
      <c r="K19" s="90">
        <v>1</v>
      </c>
      <c r="L19" s="90">
        <v>3</v>
      </c>
      <c r="M19" s="90">
        <v>1</v>
      </c>
      <c r="N19" s="90">
        <v>2</v>
      </c>
      <c r="O19" s="90">
        <v>1</v>
      </c>
      <c r="P19" s="90">
        <v>2</v>
      </c>
      <c r="Q19" s="90">
        <v>2</v>
      </c>
      <c r="R19" s="90">
        <v>1</v>
      </c>
      <c r="S19" s="90">
        <v>1</v>
      </c>
      <c r="T19" s="90">
        <v>1</v>
      </c>
      <c r="U19" s="90">
        <v>2</v>
      </c>
      <c r="V19" s="90">
        <v>1</v>
      </c>
      <c r="W19" s="90">
        <v>1</v>
      </c>
      <c r="X19" s="90">
        <v>2</v>
      </c>
      <c r="Y19" s="90">
        <v>1</v>
      </c>
      <c r="Z19" s="90">
        <v>1</v>
      </c>
      <c r="AA19" s="90">
        <v>4</v>
      </c>
      <c r="AB19" s="90">
        <v>1</v>
      </c>
      <c r="AC19" s="90">
        <v>2</v>
      </c>
      <c r="AD19" s="90">
        <v>1</v>
      </c>
      <c r="AE19" s="90">
        <v>1</v>
      </c>
      <c r="AF19" s="90">
        <v>2</v>
      </c>
    </row>
    <row r="20" spans="1:32" x14ac:dyDescent="0.3">
      <c r="A20" s="156"/>
      <c r="B20" s="157"/>
      <c r="C20" s="158"/>
      <c r="D20" s="160"/>
      <c r="E20" s="142"/>
      <c r="F20" s="142"/>
      <c r="G20" s="91">
        <v>7000</v>
      </c>
      <c r="H20" s="92">
        <v>7000</v>
      </c>
      <c r="I20" s="92">
        <v>6500</v>
      </c>
      <c r="J20" s="92">
        <v>8000</v>
      </c>
      <c r="K20" s="92">
        <v>4000</v>
      </c>
      <c r="L20" s="92">
        <v>19000</v>
      </c>
      <c r="M20" s="92">
        <v>7000</v>
      </c>
      <c r="N20" s="92">
        <v>14000</v>
      </c>
      <c r="O20" s="92">
        <v>5500</v>
      </c>
      <c r="P20" s="92">
        <v>11000</v>
      </c>
      <c r="Q20" s="92">
        <v>11000</v>
      </c>
      <c r="R20" s="92">
        <v>5500</v>
      </c>
      <c r="S20" s="92">
        <v>7000</v>
      </c>
      <c r="T20" s="92">
        <v>5500</v>
      </c>
      <c r="U20" s="92">
        <v>11000</v>
      </c>
      <c r="V20" s="92">
        <v>5500</v>
      </c>
      <c r="W20" s="92">
        <v>6500</v>
      </c>
      <c r="X20" s="92">
        <v>11000</v>
      </c>
      <c r="Y20" s="92">
        <v>4000</v>
      </c>
      <c r="Z20" s="92">
        <v>5500</v>
      </c>
      <c r="AA20" s="92">
        <v>24000</v>
      </c>
      <c r="AB20" s="92">
        <v>5500</v>
      </c>
      <c r="AC20" s="92">
        <v>13500</v>
      </c>
      <c r="AD20" s="92">
        <v>7000</v>
      </c>
      <c r="AE20" s="92">
        <v>6000</v>
      </c>
      <c r="AF20" s="92">
        <v>12500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E634-2F03-488F-A4CF-84B1EAAF6203}">
  <dimension ref="A1:AC20"/>
  <sheetViews>
    <sheetView workbookViewId="0">
      <selection activeCell="P9" sqref="P9"/>
    </sheetView>
  </sheetViews>
  <sheetFormatPr defaultRowHeight="16.5" x14ac:dyDescent="0.3"/>
  <sheetData>
    <row r="1" spans="1:29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  <c r="Z1" s="64"/>
      <c r="AA1" s="64"/>
      <c r="AB1" s="64"/>
      <c r="AC1" s="64"/>
    </row>
    <row r="2" spans="1:29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  <c r="Z2" s="64"/>
      <c r="AA2" s="64"/>
      <c r="AB2" s="64"/>
      <c r="AC2" s="64"/>
    </row>
    <row r="3" spans="1:29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  <c r="AA3" s="68">
        <v>21</v>
      </c>
      <c r="AB3" s="68">
        <v>22</v>
      </c>
      <c r="AC3" s="68">
        <v>23</v>
      </c>
    </row>
    <row r="4" spans="1:29" x14ac:dyDescent="0.3">
      <c r="A4" s="144"/>
      <c r="B4" s="146"/>
      <c r="C4" s="148"/>
      <c r="D4" s="150"/>
      <c r="E4" s="152"/>
      <c r="F4" s="69" t="s">
        <v>41</v>
      </c>
      <c r="G4" s="70">
        <v>1531</v>
      </c>
      <c r="H4" s="70">
        <v>1414</v>
      </c>
      <c r="I4" s="70">
        <v>1130</v>
      </c>
      <c r="J4" s="70">
        <v>916</v>
      </c>
      <c r="K4" s="70">
        <v>926</v>
      </c>
      <c r="L4" s="70">
        <v>611</v>
      </c>
      <c r="M4" s="70">
        <v>509</v>
      </c>
      <c r="N4" s="70">
        <v>1022</v>
      </c>
      <c r="O4" s="70">
        <v>1614</v>
      </c>
      <c r="P4" s="70">
        <v>728</v>
      </c>
      <c r="Q4" s="70">
        <v>1121</v>
      </c>
      <c r="R4" s="70">
        <v>1118</v>
      </c>
      <c r="S4" s="70">
        <v>1622</v>
      </c>
      <c r="T4" s="70">
        <v>1415</v>
      </c>
      <c r="U4" s="70">
        <v>1029</v>
      </c>
      <c r="V4" s="70">
        <v>1717</v>
      </c>
      <c r="W4" s="70">
        <v>1102</v>
      </c>
      <c r="X4" s="70">
        <v>1219</v>
      </c>
      <c r="Y4" s="70">
        <v>717</v>
      </c>
      <c r="Z4" s="70">
        <v>710</v>
      </c>
      <c r="AA4" s="70">
        <v>726</v>
      </c>
      <c r="AB4" s="70">
        <v>1731</v>
      </c>
      <c r="AC4" s="70">
        <v>1714</v>
      </c>
    </row>
    <row r="5" spans="1:29" ht="39.75" x14ac:dyDescent="0.3">
      <c r="A5" s="71" t="s">
        <v>42</v>
      </c>
      <c r="B5" s="72" t="s">
        <v>65</v>
      </c>
      <c r="C5" s="73"/>
      <c r="D5" s="74">
        <v>6000</v>
      </c>
      <c r="E5" s="75">
        <v>36000</v>
      </c>
      <c r="F5" s="76">
        <v>6</v>
      </c>
      <c r="G5" s="77"/>
      <c r="H5" s="77"/>
      <c r="I5" s="94">
        <v>1</v>
      </c>
      <c r="J5" s="77"/>
      <c r="K5" s="94">
        <v>1</v>
      </c>
      <c r="L5" s="77"/>
      <c r="M5" s="77"/>
      <c r="N5" s="77"/>
      <c r="O5" s="77"/>
      <c r="P5" s="77"/>
      <c r="Q5" s="94">
        <v>1</v>
      </c>
      <c r="R5" s="94">
        <v>1</v>
      </c>
      <c r="S5" s="77"/>
      <c r="T5" s="77"/>
      <c r="U5" s="77"/>
      <c r="V5" s="77"/>
      <c r="W5" s="77"/>
      <c r="X5" s="113">
        <v>1</v>
      </c>
      <c r="Y5" s="77"/>
      <c r="Z5" s="77"/>
      <c r="AA5" s="77"/>
      <c r="AB5" s="77"/>
      <c r="AC5" s="94">
        <v>1</v>
      </c>
    </row>
    <row r="6" spans="1:29" ht="39.75" x14ac:dyDescent="0.3">
      <c r="A6" s="78" t="s">
        <v>44</v>
      </c>
      <c r="B6" s="79" t="s">
        <v>66</v>
      </c>
      <c r="C6" s="80"/>
      <c r="D6" s="81">
        <v>6500</v>
      </c>
      <c r="E6" s="82">
        <v>19500</v>
      </c>
      <c r="F6" s="76">
        <v>3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96">
        <v>1</v>
      </c>
      <c r="U6" s="96">
        <v>1</v>
      </c>
      <c r="V6" s="83"/>
      <c r="W6" s="83"/>
      <c r="X6" s="83"/>
      <c r="Y6" s="83"/>
      <c r="Z6" s="93">
        <v>1</v>
      </c>
      <c r="AA6" s="83"/>
      <c r="AB6" s="83"/>
      <c r="AC6" s="83"/>
    </row>
    <row r="7" spans="1:29" ht="39.75" x14ac:dyDescent="0.3">
      <c r="A7" s="78" t="s">
        <v>46</v>
      </c>
      <c r="B7" s="79" t="s">
        <v>76</v>
      </c>
      <c r="C7" s="80"/>
      <c r="D7" s="81">
        <v>7000</v>
      </c>
      <c r="E7" s="82">
        <v>7000</v>
      </c>
      <c r="F7" s="76">
        <v>1</v>
      </c>
      <c r="G7" s="95">
        <v>1</v>
      </c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</row>
    <row r="8" spans="1:29" ht="26.25" x14ac:dyDescent="0.3">
      <c r="A8" s="78" t="s">
        <v>48</v>
      </c>
      <c r="B8" s="79" t="s">
        <v>69</v>
      </c>
      <c r="C8" s="80"/>
      <c r="D8" s="81">
        <v>5500</v>
      </c>
      <c r="E8" s="82">
        <v>110000</v>
      </c>
      <c r="F8" s="76">
        <v>20</v>
      </c>
      <c r="G8" s="83"/>
      <c r="H8" s="83"/>
      <c r="I8" s="83"/>
      <c r="J8" s="93">
        <v>1</v>
      </c>
      <c r="K8" s="83"/>
      <c r="L8" s="93">
        <v>2</v>
      </c>
      <c r="M8" s="93">
        <v>1</v>
      </c>
      <c r="N8" s="93">
        <v>2</v>
      </c>
      <c r="O8" s="93">
        <v>1</v>
      </c>
      <c r="P8" s="83"/>
      <c r="Q8" s="93">
        <v>1</v>
      </c>
      <c r="R8" s="83"/>
      <c r="S8" s="96">
        <v>2</v>
      </c>
      <c r="T8" s="83"/>
      <c r="U8" s="83"/>
      <c r="V8" s="96">
        <v>2</v>
      </c>
      <c r="W8" s="112">
        <v>2</v>
      </c>
      <c r="X8" s="95">
        <v>2</v>
      </c>
      <c r="Y8" s="96">
        <v>2</v>
      </c>
      <c r="Z8" s="93">
        <v>1</v>
      </c>
      <c r="AA8" s="83"/>
      <c r="AB8" s="93">
        <v>1</v>
      </c>
      <c r="AC8" s="83"/>
    </row>
    <row r="9" spans="1:29" ht="26.25" x14ac:dyDescent="0.3">
      <c r="A9" s="78" t="s">
        <v>50</v>
      </c>
      <c r="B9" s="79" t="s">
        <v>70</v>
      </c>
      <c r="C9" s="80"/>
      <c r="D9" s="81">
        <v>4000</v>
      </c>
      <c r="E9" s="82">
        <v>12000</v>
      </c>
      <c r="F9" s="76">
        <v>3</v>
      </c>
      <c r="G9" s="83"/>
      <c r="H9" s="83"/>
      <c r="I9" s="83"/>
      <c r="J9" s="83"/>
      <c r="K9" s="83"/>
      <c r="L9" s="83"/>
      <c r="M9" s="83"/>
      <c r="N9" s="83"/>
      <c r="O9" s="83"/>
      <c r="P9" s="95">
        <v>1</v>
      </c>
      <c r="Q9" s="83"/>
      <c r="R9" s="83"/>
      <c r="S9" s="83"/>
      <c r="T9" s="83"/>
      <c r="U9" s="83"/>
      <c r="V9" s="83"/>
      <c r="W9" s="83"/>
      <c r="X9" s="83"/>
      <c r="Y9" s="96">
        <v>1</v>
      </c>
      <c r="Z9" s="83"/>
      <c r="AA9" s="83"/>
      <c r="AB9" s="93">
        <v>1</v>
      </c>
      <c r="AC9" s="83"/>
    </row>
    <row r="10" spans="1:29" ht="27" x14ac:dyDescent="0.3">
      <c r="A10" s="78" t="s">
        <v>52</v>
      </c>
      <c r="B10" s="79" t="s">
        <v>71</v>
      </c>
      <c r="C10" s="80"/>
      <c r="D10" s="81">
        <v>4000</v>
      </c>
      <c r="E10" s="82">
        <v>16000</v>
      </c>
      <c r="F10" s="76">
        <v>4</v>
      </c>
      <c r="G10" s="83"/>
      <c r="H10" s="83"/>
      <c r="I10" s="83"/>
      <c r="J10" s="83"/>
      <c r="K10" s="83"/>
      <c r="L10" s="83"/>
      <c r="M10" s="93">
        <v>1</v>
      </c>
      <c r="N10" s="83"/>
      <c r="O10" s="83"/>
      <c r="P10" s="83"/>
      <c r="Q10" s="83"/>
      <c r="R10" s="83"/>
      <c r="S10" s="83"/>
      <c r="T10" s="83"/>
      <c r="U10" s="83"/>
      <c r="V10" s="96">
        <v>1</v>
      </c>
      <c r="W10" s="83"/>
      <c r="X10" s="83"/>
      <c r="Y10" s="83"/>
      <c r="Z10" s="93">
        <v>1</v>
      </c>
      <c r="AA10" s="83"/>
      <c r="AB10" s="93">
        <v>1</v>
      </c>
      <c r="AC10" s="83"/>
    </row>
    <row r="11" spans="1:29" ht="39" x14ac:dyDescent="0.3">
      <c r="A11" s="78" t="s">
        <v>54</v>
      </c>
      <c r="B11" s="79" t="s">
        <v>72</v>
      </c>
      <c r="C11" s="80"/>
      <c r="D11" s="81">
        <v>4000</v>
      </c>
      <c r="E11" s="82">
        <v>4000</v>
      </c>
      <c r="F11" s="76">
        <v>1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93">
        <v>1</v>
      </c>
      <c r="AA11" s="83"/>
      <c r="AB11" s="83"/>
      <c r="AC11" s="83"/>
    </row>
    <row r="12" spans="1:29" ht="26.25" x14ac:dyDescent="0.3">
      <c r="A12" s="78" t="s">
        <v>56</v>
      </c>
      <c r="B12" s="79" t="s">
        <v>71</v>
      </c>
      <c r="C12" s="80"/>
      <c r="D12" s="81">
        <v>5000</v>
      </c>
      <c r="E12" s="82">
        <v>10000</v>
      </c>
      <c r="F12" s="76">
        <v>2</v>
      </c>
      <c r="G12" s="84"/>
      <c r="H12" s="97">
        <v>1</v>
      </c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114">
        <v>1</v>
      </c>
      <c r="AB12" s="84"/>
      <c r="AC12" s="84"/>
    </row>
    <row r="13" spans="1:29" ht="39" x14ac:dyDescent="0.3">
      <c r="A13" s="78" t="s">
        <v>57</v>
      </c>
      <c r="B13" s="79" t="s">
        <v>65</v>
      </c>
      <c r="C13" s="80"/>
      <c r="D13" s="81">
        <v>7000</v>
      </c>
      <c r="E13" s="82">
        <v>7000</v>
      </c>
      <c r="F13" s="76">
        <v>1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112">
        <v>1</v>
      </c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</row>
    <row r="14" spans="1:29" ht="26.25" x14ac:dyDescent="0.3">
      <c r="A14" s="78" t="s">
        <v>58</v>
      </c>
      <c r="B14" s="79" t="s">
        <v>77</v>
      </c>
      <c r="C14" s="80"/>
      <c r="D14" s="81">
        <v>7000</v>
      </c>
      <c r="E14" s="82">
        <v>7000</v>
      </c>
      <c r="F14" s="76">
        <v>1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93">
        <v>1</v>
      </c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 spans="1:29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</row>
    <row r="16" spans="1:29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</row>
    <row r="17" spans="1:29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</row>
    <row r="18" spans="1:29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 spans="1:29" x14ac:dyDescent="0.3">
      <c r="A19" s="153" t="s">
        <v>64</v>
      </c>
      <c r="B19" s="154"/>
      <c r="C19" s="155"/>
      <c r="D19" s="159">
        <v>61500</v>
      </c>
      <c r="E19" s="141">
        <v>228500</v>
      </c>
      <c r="F19" s="141">
        <v>42</v>
      </c>
      <c r="G19" s="90">
        <v>1</v>
      </c>
      <c r="H19" s="90">
        <v>1</v>
      </c>
      <c r="I19" s="90">
        <v>1</v>
      </c>
      <c r="J19" s="90">
        <v>1</v>
      </c>
      <c r="K19" s="90">
        <v>1</v>
      </c>
      <c r="L19" s="90">
        <v>2</v>
      </c>
      <c r="M19" s="90">
        <v>2</v>
      </c>
      <c r="N19" s="90">
        <v>2</v>
      </c>
      <c r="O19" s="90">
        <v>1</v>
      </c>
      <c r="P19" s="90">
        <v>1</v>
      </c>
      <c r="Q19" s="90">
        <v>4</v>
      </c>
      <c r="R19" s="90">
        <v>1</v>
      </c>
      <c r="S19" s="90">
        <v>2</v>
      </c>
      <c r="T19" s="90">
        <v>1</v>
      </c>
      <c r="U19" s="90">
        <v>1</v>
      </c>
      <c r="V19" s="90">
        <v>3</v>
      </c>
      <c r="W19" s="90">
        <v>2</v>
      </c>
      <c r="X19" s="90">
        <v>3</v>
      </c>
      <c r="Y19" s="90">
        <v>3</v>
      </c>
      <c r="Z19" s="90">
        <v>4</v>
      </c>
      <c r="AA19" s="90">
        <v>1</v>
      </c>
      <c r="AB19" s="90">
        <v>3</v>
      </c>
      <c r="AC19" s="90">
        <v>1</v>
      </c>
    </row>
    <row r="20" spans="1:29" x14ac:dyDescent="0.3">
      <c r="A20" s="156"/>
      <c r="B20" s="157"/>
      <c r="C20" s="158"/>
      <c r="D20" s="160"/>
      <c r="E20" s="142"/>
      <c r="F20" s="142"/>
      <c r="G20" s="91">
        <v>7000</v>
      </c>
      <c r="H20" s="92">
        <v>5000</v>
      </c>
      <c r="I20" s="92">
        <v>6000</v>
      </c>
      <c r="J20" s="92">
        <v>5500</v>
      </c>
      <c r="K20" s="92">
        <v>6000</v>
      </c>
      <c r="L20" s="92">
        <v>11000</v>
      </c>
      <c r="M20" s="92">
        <v>9500</v>
      </c>
      <c r="N20" s="92">
        <v>11000</v>
      </c>
      <c r="O20" s="92">
        <v>5500</v>
      </c>
      <c r="P20" s="92">
        <v>4000</v>
      </c>
      <c r="Q20" s="92">
        <v>25500</v>
      </c>
      <c r="R20" s="92">
        <v>6000</v>
      </c>
      <c r="S20" s="92">
        <v>11000</v>
      </c>
      <c r="T20" s="92">
        <v>6500</v>
      </c>
      <c r="U20" s="92">
        <v>6500</v>
      </c>
      <c r="V20" s="92">
        <v>15000</v>
      </c>
      <c r="W20" s="92">
        <v>11000</v>
      </c>
      <c r="X20" s="92">
        <v>17000</v>
      </c>
      <c r="Y20" s="92">
        <v>15000</v>
      </c>
      <c r="Z20" s="92">
        <v>20000</v>
      </c>
      <c r="AA20" s="92">
        <v>5000</v>
      </c>
      <c r="AB20" s="92">
        <v>13500</v>
      </c>
      <c r="AC20" s="92">
        <v>6000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6121-C237-4BC2-94DD-5001F03517B4}">
  <dimension ref="A1:X20"/>
  <sheetViews>
    <sheetView topLeftCell="N1" workbookViewId="0">
      <selection activeCell="X5" sqref="X5"/>
    </sheetView>
  </sheetViews>
  <sheetFormatPr defaultRowHeight="16.5" x14ac:dyDescent="0.3"/>
  <sheetData>
    <row r="1" spans="1:24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</row>
    <row r="2" spans="1:24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</row>
    <row r="3" spans="1:24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</row>
    <row r="4" spans="1:24" x14ac:dyDescent="0.3">
      <c r="A4" s="144"/>
      <c r="B4" s="146"/>
      <c r="C4" s="148"/>
      <c r="D4" s="150"/>
      <c r="E4" s="152"/>
      <c r="F4" s="69" t="s">
        <v>41</v>
      </c>
      <c r="G4" s="70">
        <v>1015</v>
      </c>
      <c r="H4" s="70">
        <v>1229</v>
      </c>
      <c r="I4" s="70">
        <v>1627</v>
      </c>
      <c r="J4" s="70">
        <v>1606</v>
      </c>
      <c r="K4" s="70">
        <v>728</v>
      </c>
      <c r="L4" s="70">
        <v>1124</v>
      </c>
      <c r="M4" s="70">
        <v>729</v>
      </c>
      <c r="N4" s="70">
        <v>824</v>
      </c>
      <c r="O4" s="70">
        <v>1614</v>
      </c>
      <c r="P4" s="70">
        <v>1022</v>
      </c>
      <c r="Q4" s="70">
        <v>614</v>
      </c>
      <c r="R4" s="70">
        <v>531</v>
      </c>
      <c r="S4" s="70">
        <v>1022</v>
      </c>
      <c r="T4" s="70">
        <v>1731</v>
      </c>
      <c r="U4" s="70">
        <v>516</v>
      </c>
      <c r="V4" s="70">
        <v>1428</v>
      </c>
      <c r="W4" s="70">
        <v>1102</v>
      </c>
      <c r="X4" s="70">
        <v>1714</v>
      </c>
    </row>
    <row r="5" spans="1:24" ht="39.75" x14ac:dyDescent="0.3">
      <c r="A5" s="71" t="s">
        <v>42</v>
      </c>
      <c r="B5" s="72" t="s">
        <v>65</v>
      </c>
      <c r="C5" s="73"/>
      <c r="D5" s="74">
        <v>6000</v>
      </c>
      <c r="E5" s="75">
        <v>36000</v>
      </c>
      <c r="F5" s="76">
        <v>6</v>
      </c>
      <c r="G5" s="77"/>
      <c r="H5" s="77"/>
      <c r="I5" s="113">
        <v>1</v>
      </c>
      <c r="J5" s="113">
        <v>1</v>
      </c>
      <c r="K5" s="77"/>
      <c r="L5" s="77"/>
      <c r="M5" s="77"/>
      <c r="N5" s="77"/>
      <c r="O5" s="77"/>
      <c r="P5" s="77"/>
      <c r="Q5" s="94">
        <v>1</v>
      </c>
      <c r="R5" s="94">
        <v>1</v>
      </c>
      <c r="S5" s="100">
        <v>1</v>
      </c>
      <c r="T5" s="77"/>
      <c r="U5" s="77"/>
      <c r="V5" s="77"/>
      <c r="W5" s="77"/>
      <c r="X5" s="115">
        <v>1</v>
      </c>
    </row>
    <row r="6" spans="1:24" ht="39.75" x14ac:dyDescent="0.3">
      <c r="A6" s="78" t="s">
        <v>44</v>
      </c>
      <c r="B6" s="79" t="s">
        <v>66</v>
      </c>
      <c r="C6" s="80"/>
      <c r="D6" s="81">
        <v>6500</v>
      </c>
      <c r="E6" s="82">
        <v>26000</v>
      </c>
      <c r="F6" s="76">
        <v>4</v>
      </c>
      <c r="G6" s="83"/>
      <c r="H6" s="93">
        <v>1</v>
      </c>
      <c r="I6" s="83"/>
      <c r="J6" s="83"/>
      <c r="K6" s="83"/>
      <c r="L6" s="83"/>
      <c r="M6" s="83"/>
      <c r="N6" s="83"/>
      <c r="O6" s="83"/>
      <c r="P6" s="83"/>
      <c r="Q6" s="93">
        <v>1</v>
      </c>
      <c r="R6" s="93">
        <v>1</v>
      </c>
      <c r="S6" s="83"/>
      <c r="T6" s="83"/>
      <c r="U6" s="83"/>
      <c r="V6" s="96">
        <v>1</v>
      </c>
      <c r="W6" s="83"/>
      <c r="X6" s="83"/>
    </row>
    <row r="7" spans="1:24" ht="39.75" x14ac:dyDescent="0.3">
      <c r="A7" s="78" t="s">
        <v>46</v>
      </c>
      <c r="B7" s="79" t="s">
        <v>76</v>
      </c>
      <c r="C7" s="80"/>
      <c r="D7" s="81">
        <v>7000</v>
      </c>
      <c r="E7" s="82">
        <v>14000</v>
      </c>
      <c r="F7" s="76">
        <v>2</v>
      </c>
      <c r="G7" s="83"/>
      <c r="H7" s="83"/>
      <c r="I7" s="95">
        <v>1</v>
      </c>
      <c r="J7" s="83"/>
      <c r="K7" s="83"/>
      <c r="L7" s="83"/>
      <c r="M7" s="83"/>
      <c r="N7" s="83"/>
      <c r="O7" s="83"/>
      <c r="P7" s="83"/>
      <c r="Q7" s="93">
        <v>1</v>
      </c>
      <c r="R7" s="83"/>
      <c r="S7" s="83"/>
      <c r="T7" s="83"/>
      <c r="U7" s="83"/>
      <c r="V7" s="83"/>
      <c r="W7" s="83"/>
      <c r="X7" s="83"/>
    </row>
    <row r="8" spans="1:24" ht="26.25" x14ac:dyDescent="0.3">
      <c r="A8" s="78" t="s">
        <v>48</v>
      </c>
      <c r="B8" s="79" t="s">
        <v>69</v>
      </c>
      <c r="C8" s="80"/>
      <c r="D8" s="81">
        <v>5500</v>
      </c>
      <c r="E8" s="82">
        <v>60500</v>
      </c>
      <c r="F8" s="76">
        <v>11</v>
      </c>
      <c r="G8" s="112">
        <v>2</v>
      </c>
      <c r="H8" s="93">
        <v>1</v>
      </c>
      <c r="I8" s="83"/>
      <c r="J8" s="83"/>
      <c r="K8" s="93">
        <v>2</v>
      </c>
      <c r="L8" s="83"/>
      <c r="M8" s="93">
        <v>1</v>
      </c>
      <c r="N8" s="93">
        <v>1</v>
      </c>
      <c r="O8" s="93">
        <v>1</v>
      </c>
      <c r="P8" s="96">
        <v>1</v>
      </c>
      <c r="Q8" s="83"/>
      <c r="R8" s="83"/>
      <c r="S8" s="83"/>
      <c r="T8" s="83"/>
      <c r="U8" s="83"/>
      <c r="V8" s="83"/>
      <c r="W8" s="96">
        <v>2</v>
      </c>
      <c r="X8" s="83"/>
    </row>
    <row r="9" spans="1:24" ht="26.25" x14ac:dyDescent="0.3">
      <c r="A9" s="78" t="s">
        <v>50</v>
      </c>
      <c r="B9" s="79" t="s">
        <v>70</v>
      </c>
      <c r="C9" s="80"/>
      <c r="D9" s="81">
        <v>4000</v>
      </c>
      <c r="E9" s="82">
        <v>4000</v>
      </c>
      <c r="F9" s="76">
        <v>1</v>
      </c>
      <c r="G9" s="83"/>
      <c r="H9" s="83"/>
      <c r="I9" s="83"/>
      <c r="J9" s="83"/>
      <c r="K9" s="83"/>
      <c r="L9" s="93">
        <v>1</v>
      </c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</row>
    <row r="10" spans="1:24" ht="27" x14ac:dyDescent="0.3">
      <c r="A10" s="78" t="s">
        <v>52</v>
      </c>
      <c r="B10" s="79" t="s">
        <v>71</v>
      </c>
      <c r="C10" s="80"/>
      <c r="D10" s="81">
        <v>4000</v>
      </c>
      <c r="E10" s="82">
        <v>4000</v>
      </c>
      <c r="F10" s="76">
        <v>1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93">
        <v>1</v>
      </c>
      <c r="U10" s="83"/>
      <c r="V10" s="83"/>
      <c r="W10" s="83"/>
      <c r="X10" s="83"/>
    </row>
    <row r="11" spans="1:24" ht="39" x14ac:dyDescent="0.3">
      <c r="A11" s="78" t="s">
        <v>54</v>
      </c>
      <c r="B11" s="79" t="s">
        <v>72</v>
      </c>
      <c r="C11" s="80"/>
      <c r="D11" s="81">
        <v>4000</v>
      </c>
      <c r="E11" s="82">
        <v>8000</v>
      </c>
      <c r="F11" s="76">
        <v>2</v>
      </c>
      <c r="G11" s="83"/>
      <c r="H11" s="93">
        <v>1</v>
      </c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93">
        <v>1</v>
      </c>
      <c r="U11" s="83"/>
      <c r="V11" s="83"/>
      <c r="W11" s="83"/>
      <c r="X11" s="83"/>
    </row>
    <row r="12" spans="1:24" ht="26.25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</row>
    <row r="13" spans="1:24" ht="39" x14ac:dyDescent="0.3">
      <c r="A13" s="78" t="s">
        <v>57</v>
      </c>
      <c r="B13" s="79" t="s">
        <v>65</v>
      </c>
      <c r="C13" s="80"/>
      <c r="D13" s="81">
        <v>7000</v>
      </c>
      <c r="E13" s="82">
        <v>7000</v>
      </c>
      <c r="F13" s="76">
        <v>1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96">
        <v>1</v>
      </c>
      <c r="V13" s="83"/>
      <c r="W13" s="83"/>
      <c r="X13" s="83"/>
    </row>
    <row r="14" spans="1:24" ht="26.25" x14ac:dyDescent="0.3">
      <c r="A14" s="78" t="s">
        <v>58</v>
      </c>
      <c r="B14" s="79" t="s">
        <v>77</v>
      </c>
      <c r="C14" s="80"/>
      <c r="D14" s="81">
        <v>7000</v>
      </c>
      <c r="E14" s="82">
        <v>0</v>
      </c>
      <c r="F14" s="76">
        <v>0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</row>
    <row r="15" spans="1:24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</row>
    <row r="16" spans="1:24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</row>
    <row r="17" spans="1:24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</row>
    <row r="18" spans="1:24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</row>
    <row r="19" spans="1:24" x14ac:dyDescent="0.3">
      <c r="A19" s="153" t="s">
        <v>64</v>
      </c>
      <c r="B19" s="154"/>
      <c r="C19" s="155"/>
      <c r="D19" s="159">
        <v>61500</v>
      </c>
      <c r="E19" s="141">
        <v>159500</v>
      </c>
      <c r="F19" s="141">
        <v>28</v>
      </c>
      <c r="G19" s="90">
        <v>2</v>
      </c>
      <c r="H19" s="90">
        <v>3</v>
      </c>
      <c r="I19" s="90">
        <v>2</v>
      </c>
      <c r="J19" s="90">
        <v>1</v>
      </c>
      <c r="K19" s="90">
        <v>2</v>
      </c>
      <c r="L19" s="90">
        <v>1</v>
      </c>
      <c r="M19" s="90">
        <v>1</v>
      </c>
      <c r="N19" s="90">
        <v>1</v>
      </c>
      <c r="O19" s="90">
        <v>1</v>
      </c>
      <c r="P19" s="90">
        <v>1</v>
      </c>
      <c r="Q19" s="90">
        <v>3</v>
      </c>
      <c r="R19" s="90">
        <v>2</v>
      </c>
      <c r="S19" s="90">
        <v>1</v>
      </c>
      <c r="T19" s="90">
        <v>2</v>
      </c>
      <c r="U19" s="90">
        <v>1</v>
      </c>
      <c r="V19" s="90">
        <v>1</v>
      </c>
      <c r="W19" s="90">
        <v>2</v>
      </c>
      <c r="X19" s="90">
        <v>1</v>
      </c>
    </row>
    <row r="20" spans="1:24" x14ac:dyDescent="0.3">
      <c r="A20" s="156"/>
      <c r="B20" s="157"/>
      <c r="C20" s="158"/>
      <c r="D20" s="160"/>
      <c r="E20" s="142"/>
      <c r="F20" s="142"/>
      <c r="G20" s="91">
        <v>11000</v>
      </c>
      <c r="H20" s="92">
        <v>16000</v>
      </c>
      <c r="I20" s="92">
        <v>13000</v>
      </c>
      <c r="J20" s="92">
        <v>6000</v>
      </c>
      <c r="K20" s="92">
        <v>11000</v>
      </c>
      <c r="L20" s="92">
        <v>4000</v>
      </c>
      <c r="M20" s="92">
        <v>5500</v>
      </c>
      <c r="N20" s="92">
        <v>5500</v>
      </c>
      <c r="O20" s="92">
        <v>5500</v>
      </c>
      <c r="P20" s="92">
        <v>5500</v>
      </c>
      <c r="Q20" s="92">
        <v>19500</v>
      </c>
      <c r="R20" s="92">
        <v>12500</v>
      </c>
      <c r="S20" s="92">
        <v>6000</v>
      </c>
      <c r="T20" s="92">
        <v>8000</v>
      </c>
      <c r="U20" s="92">
        <v>7000</v>
      </c>
      <c r="V20" s="92">
        <v>6500</v>
      </c>
      <c r="W20" s="92">
        <v>11000</v>
      </c>
      <c r="X20" s="92">
        <v>6000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27B1-2B48-488D-88E6-8FD245A70892}">
  <dimension ref="A1:AK20"/>
  <sheetViews>
    <sheetView zoomScale="70" zoomScaleNormal="70" workbookViewId="0">
      <pane xSplit="4" ySplit="1" topLeftCell="T2" activePane="bottomRight" state="frozen"/>
      <selection pane="topRight" activeCell="E1" sqref="E1"/>
      <selection pane="bottomLeft" activeCell="A2" sqref="A2"/>
      <selection pane="bottomRight" activeCell="AK8" sqref="AK8"/>
    </sheetView>
  </sheetViews>
  <sheetFormatPr defaultRowHeight="16.5" x14ac:dyDescent="0.3"/>
  <cols>
    <col min="2" max="3" width="0" hidden="1" customWidth="1"/>
  </cols>
  <sheetData>
    <row r="1" spans="1:37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</row>
    <row r="2" spans="1:37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</row>
    <row r="3" spans="1:37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  <c r="AA3" s="68">
        <v>21</v>
      </c>
      <c r="AB3" s="68">
        <v>22</v>
      </c>
      <c r="AC3" s="68">
        <v>23</v>
      </c>
      <c r="AD3" s="68">
        <v>24</v>
      </c>
      <c r="AE3" s="68">
        <v>25</v>
      </c>
      <c r="AF3" s="68">
        <v>26</v>
      </c>
      <c r="AG3" s="68">
        <v>27</v>
      </c>
      <c r="AH3" s="68">
        <v>28</v>
      </c>
      <c r="AI3" s="68">
        <v>29</v>
      </c>
      <c r="AJ3" s="116">
        <v>30</v>
      </c>
      <c r="AK3" s="68">
        <v>31</v>
      </c>
    </row>
    <row r="4" spans="1:37" x14ac:dyDescent="0.3">
      <c r="A4" s="144"/>
      <c r="B4" s="146"/>
      <c r="C4" s="148"/>
      <c r="D4" s="150"/>
      <c r="E4" s="152"/>
      <c r="F4" s="69" t="s">
        <v>41</v>
      </c>
      <c r="G4" s="70">
        <v>1614</v>
      </c>
      <c r="H4" s="70">
        <v>1419</v>
      </c>
      <c r="I4" s="70">
        <v>731</v>
      </c>
      <c r="J4" s="70">
        <v>1121</v>
      </c>
      <c r="K4" s="70">
        <v>929</v>
      </c>
      <c r="L4" s="70">
        <v>1619</v>
      </c>
      <c r="M4" s="70">
        <v>1215</v>
      </c>
      <c r="N4" s="70">
        <v>1731</v>
      </c>
      <c r="O4" s="70">
        <v>1114</v>
      </c>
      <c r="P4" s="70">
        <v>729</v>
      </c>
      <c r="Q4" s="70">
        <v>531</v>
      </c>
      <c r="R4" s="70">
        <v>1224</v>
      </c>
      <c r="S4" s="70">
        <v>614</v>
      </c>
      <c r="T4" s="70">
        <v>725</v>
      </c>
      <c r="U4" s="70">
        <v>719</v>
      </c>
      <c r="V4" s="70">
        <v>925</v>
      </c>
      <c r="W4" s="70">
        <v>1809</v>
      </c>
      <c r="X4" s="70">
        <v>1025</v>
      </c>
      <c r="Y4" s="70">
        <v>618</v>
      </c>
      <c r="Z4" s="70">
        <v>1205</v>
      </c>
      <c r="AA4" s="70">
        <v>505</v>
      </c>
      <c r="AB4" s="70">
        <v>917</v>
      </c>
      <c r="AC4" s="70">
        <v>611</v>
      </c>
      <c r="AD4" s="70">
        <v>1528</v>
      </c>
      <c r="AE4" s="70">
        <v>1417</v>
      </c>
      <c r="AF4" s="70">
        <v>824</v>
      </c>
      <c r="AG4" s="70">
        <v>1131</v>
      </c>
      <c r="AH4" s="70">
        <v>1015</v>
      </c>
      <c r="AI4" s="70">
        <v>1505</v>
      </c>
      <c r="AJ4" s="117">
        <v>1203</v>
      </c>
      <c r="AK4" s="118">
        <v>1520</v>
      </c>
    </row>
    <row r="5" spans="1:37" ht="39.75" x14ac:dyDescent="0.3">
      <c r="A5" s="71" t="s">
        <v>42</v>
      </c>
      <c r="B5" s="72" t="s">
        <v>65</v>
      </c>
      <c r="C5" s="73"/>
      <c r="D5" s="74">
        <v>6000</v>
      </c>
      <c r="E5" s="75">
        <v>54000</v>
      </c>
      <c r="F5" s="76">
        <v>9</v>
      </c>
      <c r="G5" s="125">
        <v>1</v>
      </c>
      <c r="H5" s="77"/>
      <c r="I5" s="77"/>
      <c r="J5" s="106">
        <v>1</v>
      </c>
      <c r="K5" s="77"/>
      <c r="L5" s="77"/>
      <c r="M5" s="77"/>
      <c r="N5" s="77"/>
      <c r="O5" s="77"/>
      <c r="P5" s="77"/>
      <c r="Q5" s="105">
        <v>1</v>
      </c>
      <c r="R5" s="125">
        <v>1</v>
      </c>
      <c r="S5" s="106">
        <v>1</v>
      </c>
      <c r="T5" s="77"/>
      <c r="U5" s="77"/>
      <c r="V5" s="105">
        <v>1</v>
      </c>
      <c r="W5" s="77"/>
      <c r="X5" s="105">
        <v>1</v>
      </c>
      <c r="Y5" s="106">
        <v>1</v>
      </c>
      <c r="Z5" s="77"/>
      <c r="AA5" s="125">
        <v>1</v>
      </c>
      <c r="AB5" s="77"/>
      <c r="AC5" s="77"/>
      <c r="AD5" s="77"/>
      <c r="AE5" s="77"/>
      <c r="AF5" s="77"/>
      <c r="AG5" s="77"/>
      <c r="AH5" s="77"/>
      <c r="AI5" s="77"/>
      <c r="AJ5" s="119"/>
      <c r="AK5" s="77"/>
    </row>
    <row r="6" spans="1:37" ht="39.75" x14ac:dyDescent="0.3">
      <c r="A6" s="78" t="s">
        <v>44</v>
      </c>
      <c r="B6" s="79" t="s">
        <v>66</v>
      </c>
      <c r="C6" s="80"/>
      <c r="D6" s="81">
        <v>6500</v>
      </c>
      <c r="E6" s="82">
        <v>45500</v>
      </c>
      <c r="F6" s="76">
        <v>7</v>
      </c>
      <c r="G6" s="107">
        <v>1</v>
      </c>
      <c r="H6" s="83"/>
      <c r="I6" s="83"/>
      <c r="J6" s="83"/>
      <c r="K6" s="83"/>
      <c r="L6" s="103">
        <v>1</v>
      </c>
      <c r="M6" s="83"/>
      <c r="N6" s="103">
        <v>1</v>
      </c>
      <c r="O6" s="103">
        <v>1</v>
      </c>
      <c r="P6" s="83"/>
      <c r="Q6" s="103"/>
      <c r="R6" s="83"/>
      <c r="S6" s="104">
        <v>1</v>
      </c>
      <c r="T6" s="83"/>
      <c r="U6" s="83"/>
      <c r="V6" s="83"/>
      <c r="W6" s="83"/>
      <c r="X6" s="83"/>
      <c r="Y6" s="104">
        <v>1</v>
      </c>
      <c r="Z6" s="83"/>
      <c r="AA6" s="83"/>
      <c r="AB6" s="83"/>
      <c r="AC6" s="83"/>
      <c r="AD6" s="103">
        <v>1</v>
      </c>
      <c r="AE6" s="83"/>
      <c r="AF6" s="83"/>
      <c r="AG6" s="83"/>
      <c r="AH6" s="83"/>
      <c r="AI6" s="83"/>
      <c r="AJ6" s="120"/>
      <c r="AK6" s="83"/>
    </row>
    <row r="7" spans="1:37" ht="39.75" x14ac:dyDescent="0.3">
      <c r="A7" s="78" t="s">
        <v>46</v>
      </c>
      <c r="B7" s="79" t="s">
        <v>76</v>
      </c>
      <c r="C7" s="80"/>
      <c r="D7" s="81">
        <v>7000</v>
      </c>
      <c r="E7" s="82">
        <v>28000</v>
      </c>
      <c r="F7" s="76">
        <v>4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103">
        <v>1</v>
      </c>
      <c r="Y7" s="104">
        <v>1</v>
      </c>
      <c r="Z7" s="83"/>
      <c r="AA7" s="107">
        <v>1</v>
      </c>
      <c r="AB7" s="83"/>
      <c r="AC7" s="83"/>
      <c r="AD7" s="83"/>
      <c r="AE7" s="83"/>
      <c r="AF7" s="103">
        <v>1</v>
      </c>
      <c r="AG7" s="83"/>
      <c r="AH7" s="83"/>
      <c r="AI7" s="83"/>
      <c r="AJ7" s="120"/>
      <c r="AK7" s="83"/>
    </row>
    <row r="8" spans="1:37" ht="26.25" x14ac:dyDescent="0.3">
      <c r="A8" s="78" t="s">
        <v>48</v>
      </c>
      <c r="B8" s="79" t="s">
        <v>69</v>
      </c>
      <c r="C8" s="80"/>
      <c r="D8" s="81">
        <v>5500</v>
      </c>
      <c r="E8" s="82">
        <v>88000</v>
      </c>
      <c r="F8" s="76">
        <v>16</v>
      </c>
      <c r="G8" s="83"/>
      <c r="H8" s="103">
        <v>1</v>
      </c>
      <c r="I8" s="103">
        <v>1</v>
      </c>
      <c r="J8" s="104">
        <v>1</v>
      </c>
      <c r="K8" s="83"/>
      <c r="L8" s="103">
        <v>1</v>
      </c>
      <c r="M8" s="83"/>
      <c r="N8" s="83"/>
      <c r="O8" s="83"/>
      <c r="P8" s="107">
        <v>1</v>
      </c>
      <c r="Q8" s="83"/>
      <c r="R8" s="83"/>
      <c r="S8" s="83"/>
      <c r="T8" s="83"/>
      <c r="U8" s="83"/>
      <c r="V8" s="83"/>
      <c r="W8" s="104">
        <v>2</v>
      </c>
      <c r="X8" s="103">
        <v>2</v>
      </c>
      <c r="Y8" s="83"/>
      <c r="Z8" s="83"/>
      <c r="AA8" s="83"/>
      <c r="AB8" s="83"/>
      <c r="AC8" s="103">
        <v>1</v>
      </c>
      <c r="AD8" s="83"/>
      <c r="AE8" s="83"/>
      <c r="AF8" s="103">
        <v>2</v>
      </c>
      <c r="AG8" s="103">
        <v>1</v>
      </c>
      <c r="AH8" s="103">
        <v>1</v>
      </c>
      <c r="AI8" s="83"/>
      <c r="AJ8" s="126">
        <v>1</v>
      </c>
      <c r="AK8" s="103">
        <v>1</v>
      </c>
    </row>
    <row r="9" spans="1:37" ht="26.25" x14ac:dyDescent="0.3">
      <c r="A9" s="78" t="s">
        <v>50</v>
      </c>
      <c r="B9" s="79" t="s">
        <v>70</v>
      </c>
      <c r="C9" s="80"/>
      <c r="D9" s="81">
        <v>4000</v>
      </c>
      <c r="E9" s="82">
        <v>4000</v>
      </c>
      <c r="F9" s="76">
        <v>1</v>
      </c>
      <c r="G9" s="83"/>
      <c r="H9" s="83"/>
      <c r="I9" s="83"/>
      <c r="J9" s="83"/>
      <c r="K9" s="103">
        <v>1</v>
      </c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120"/>
      <c r="AK9" s="83"/>
    </row>
    <row r="10" spans="1:37" ht="27" x14ac:dyDescent="0.3">
      <c r="A10" s="78" t="s">
        <v>52</v>
      </c>
      <c r="B10" s="79" t="s">
        <v>71</v>
      </c>
      <c r="C10" s="80"/>
      <c r="D10" s="81">
        <v>4000</v>
      </c>
      <c r="E10" s="82">
        <v>12000</v>
      </c>
      <c r="F10" s="76">
        <v>3</v>
      </c>
      <c r="G10" s="83"/>
      <c r="H10" s="83"/>
      <c r="I10" s="83"/>
      <c r="J10" s="83"/>
      <c r="K10" s="83"/>
      <c r="L10" s="83"/>
      <c r="M10" s="104">
        <v>1</v>
      </c>
      <c r="N10" s="103">
        <v>1</v>
      </c>
      <c r="O10" s="83"/>
      <c r="P10" s="83"/>
      <c r="Q10" s="83"/>
      <c r="R10" s="83"/>
      <c r="S10" s="83"/>
      <c r="T10" s="83"/>
      <c r="U10" s="83"/>
      <c r="V10" s="83"/>
      <c r="W10" s="83"/>
      <c r="X10" s="103">
        <v>1</v>
      </c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120"/>
      <c r="AK10" s="83"/>
    </row>
    <row r="11" spans="1:37" ht="39" x14ac:dyDescent="0.3">
      <c r="A11" s="78" t="s">
        <v>54</v>
      </c>
      <c r="B11" s="79" t="s">
        <v>72</v>
      </c>
      <c r="C11" s="80"/>
      <c r="D11" s="81">
        <v>4000</v>
      </c>
      <c r="E11" s="82">
        <v>4000</v>
      </c>
      <c r="F11" s="76">
        <v>1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103">
        <v>1</v>
      </c>
      <c r="AC11" s="83"/>
      <c r="AD11" s="83"/>
      <c r="AE11" s="83"/>
      <c r="AF11" s="83"/>
      <c r="AG11" s="83"/>
      <c r="AH11" s="83"/>
      <c r="AI11" s="83"/>
      <c r="AJ11" s="120"/>
      <c r="AK11" s="83"/>
    </row>
    <row r="12" spans="1:37" ht="26.25" x14ac:dyDescent="0.3">
      <c r="A12" s="78" t="s">
        <v>56</v>
      </c>
      <c r="B12" s="79" t="s">
        <v>71</v>
      </c>
      <c r="C12" s="80"/>
      <c r="D12" s="81">
        <v>5000</v>
      </c>
      <c r="E12" s="82">
        <v>5000</v>
      </c>
      <c r="F12" s="76">
        <v>1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110">
        <v>1</v>
      </c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121"/>
      <c r="AK12" s="83"/>
    </row>
    <row r="13" spans="1:37" ht="39" x14ac:dyDescent="0.3">
      <c r="A13" s="78" t="s">
        <v>57</v>
      </c>
      <c r="B13" s="79" t="s">
        <v>65</v>
      </c>
      <c r="C13" s="80"/>
      <c r="D13" s="81">
        <v>7000</v>
      </c>
      <c r="E13" s="82">
        <v>28000</v>
      </c>
      <c r="F13" s="76">
        <v>4</v>
      </c>
      <c r="G13" s="83"/>
      <c r="H13" s="83"/>
      <c r="I13" s="83"/>
      <c r="J13" s="104">
        <v>1</v>
      </c>
      <c r="K13" s="83"/>
      <c r="L13" s="83"/>
      <c r="M13" s="83"/>
      <c r="N13" s="83"/>
      <c r="O13" s="83"/>
      <c r="P13" s="83"/>
      <c r="Q13" s="83"/>
      <c r="R13" s="83"/>
      <c r="S13" s="83"/>
      <c r="T13" s="104">
        <v>1</v>
      </c>
      <c r="U13" s="104">
        <v>1</v>
      </c>
      <c r="V13" s="83"/>
      <c r="W13" s="83"/>
      <c r="X13" s="83"/>
      <c r="Y13" s="83"/>
      <c r="Z13" s="103">
        <v>1</v>
      </c>
      <c r="AA13" s="83"/>
      <c r="AB13" s="83"/>
      <c r="AC13" s="83"/>
      <c r="AD13" s="83"/>
      <c r="AE13" s="83"/>
      <c r="AF13" s="83"/>
      <c r="AG13" s="83"/>
      <c r="AH13" s="83"/>
      <c r="AI13" s="83"/>
      <c r="AJ13" s="120"/>
      <c r="AK13" s="83"/>
    </row>
    <row r="14" spans="1:37" ht="26.25" x14ac:dyDescent="0.3">
      <c r="A14" s="78" t="s">
        <v>58</v>
      </c>
      <c r="B14" s="79" t="s">
        <v>77</v>
      </c>
      <c r="C14" s="80"/>
      <c r="D14" s="81">
        <v>7000</v>
      </c>
      <c r="E14" s="82">
        <v>42000</v>
      </c>
      <c r="F14" s="76">
        <v>6</v>
      </c>
      <c r="G14" s="83"/>
      <c r="H14" s="83"/>
      <c r="I14" s="83"/>
      <c r="J14" s="104">
        <v>1</v>
      </c>
      <c r="K14" s="83"/>
      <c r="L14" s="83"/>
      <c r="M14" s="83"/>
      <c r="N14" s="83"/>
      <c r="O14" s="83"/>
      <c r="P14" s="83"/>
      <c r="Q14" s="83"/>
      <c r="R14" s="83"/>
      <c r="S14" s="83"/>
      <c r="T14" s="104">
        <v>1</v>
      </c>
      <c r="U14" s="104">
        <v>1</v>
      </c>
      <c r="V14" s="83"/>
      <c r="W14" s="83"/>
      <c r="X14" s="83"/>
      <c r="Y14" s="83"/>
      <c r="Z14" s="103">
        <v>1</v>
      </c>
      <c r="AA14" s="83"/>
      <c r="AB14" s="83"/>
      <c r="AC14" s="83"/>
      <c r="AD14" s="83"/>
      <c r="AE14" s="103">
        <v>1</v>
      </c>
      <c r="AF14" s="83"/>
      <c r="AG14" s="83"/>
      <c r="AH14" s="83"/>
      <c r="AI14" s="107">
        <v>1</v>
      </c>
      <c r="AJ14" s="120"/>
      <c r="AK14" s="83"/>
    </row>
    <row r="15" spans="1:37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120"/>
      <c r="AK15" s="83"/>
    </row>
    <row r="16" spans="1:37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120"/>
      <c r="AK16" s="83"/>
    </row>
    <row r="17" spans="1:37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121"/>
      <c r="AK17" s="83"/>
    </row>
    <row r="18" spans="1:37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120"/>
      <c r="AK18" s="84"/>
    </row>
    <row r="19" spans="1:37" x14ac:dyDescent="0.3">
      <c r="A19" s="153" t="s">
        <v>64</v>
      </c>
      <c r="B19" s="154"/>
      <c r="C19" s="155"/>
      <c r="D19" s="159">
        <v>61500</v>
      </c>
      <c r="E19" s="141">
        <v>310500</v>
      </c>
      <c r="F19" s="141">
        <v>52</v>
      </c>
      <c r="G19" s="90">
        <v>2</v>
      </c>
      <c r="H19" s="90">
        <v>1</v>
      </c>
      <c r="I19" s="90">
        <v>1</v>
      </c>
      <c r="J19" s="90">
        <v>4</v>
      </c>
      <c r="K19" s="90">
        <v>1</v>
      </c>
      <c r="L19" s="90">
        <v>2</v>
      </c>
      <c r="M19" s="90">
        <v>1</v>
      </c>
      <c r="N19" s="90">
        <v>2</v>
      </c>
      <c r="O19" s="90">
        <v>1</v>
      </c>
      <c r="P19" s="90">
        <v>1</v>
      </c>
      <c r="Q19" s="90">
        <v>1</v>
      </c>
      <c r="R19" s="90">
        <v>2</v>
      </c>
      <c r="S19" s="90">
        <v>2</v>
      </c>
      <c r="T19" s="90">
        <v>2</v>
      </c>
      <c r="U19" s="90">
        <v>2</v>
      </c>
      <c r="V19" s="90">
        <v>1</v>
      </c>
      <c r="W19" s="90">
        <v>2</v>
      </c>
      <c r="X19" s="90">
        <v>5</v>
      </c>
      <c r="Y19" s="90">
        <v>3</v>
      </c>
      <c r="Z19" s="90">
        <v>2</v>
      </c>
      <c r="AA19" s="90">
        <v>2</v>
      </c>
      <c r="AB19" s="90">
        <v>1</v>
      </c>
      <c r="AC19" s="90">
        <v>1</v>
      </c>
      <c r="AD19" s="90">
        <v>1</v>
      </c>
      <c r="AE19" s="90">
        <v>1</v>
      </c>
      <c r="AF19" s="90">
        <v>3</v>
      </c>
      <c r="AG19" s="90">
        <v>1</v>
      </c>
      <c r="AH19" s="90">
        <v>1</v>
      </c>
      <c r="AI19" s="90">
        <v>1</v>
      </c>
      <c r="AJ19" s="122">
        <v>1</v>
      </c>
      <c r="AK19" s="123">
        <v>1</v>
      </c>
    </row>
    <row r="20" spans="1:37" x14ac:dyDescent="0.3">
      <c r="A20" s="156"/>
      <c r="B20" s="157"/>
      <c r="C20" s="158"/>
      <c r="D20" s="160"/>
      <c r="E20" s="142"/>
      <c r="F20" s="142"/>
      <c r="G20" s="91">
        <v>12500</v>
      </c>
      <c r="H20" s="92">
        <v>5500</v>
      </c>
      <c r="I20" s="92">
        <v>5500</v>
      </c>
      <c r="J20" s="92">
        <v>25500</v>
      </c>
      <c r="K20" s="92">
        <v>4000</v>
      </c>
      <c r="L20" s="92">
        <v>12000</v>
      </c>
      <c r="M20" s="92">
        <v>4000</v>
      </c>
      <c r="N20" s="92">
        <v>10500</v>
      </c>
      <c r="O20" s="92">
        <v>6500</v>
      </c>
      <c r="P20" s="92">
        <v>5500</v>
      </c>
      <c r="Q20" s="92">
        <v>6000</v>
      </c>
      <c r="R20" s="92">
        <v>11000</v>
      </c>
      <c r="S20" s="92">
        <v>12500</v>
      </c>
      <c r="T20" s="92">
        <v>14000</v>
      </c>
      <c r="U20" s="92">
        <v>14000</v>
      </c>
      <c r="V20" s="92">
        <v>6000</v>
      </c>
      <c r="W20" s="92">
        <v>11000</v>
      </c>
      <c r="X20" s="92">
        <v>28000</v>
      </c>
      <c r="Y20" s="92">
        <v>19500</v>
      </c>
      <c r="Z20" s="92">
        <v>14000</v>
      </c>
      <c r="AA20" s="92">
        <v>13000</v>
      </c>
      <c r="AB20" s="92">
        <v>4000</v>
      </c>
      <c r="AC20" s="92">
        <v>5500</v>
      </c>
      <c r="AD20" s="92">
        <v>6500</v>
      </c>
      <c r="AE20" s="92">
        <v>7000</v>
      </c>
      <c r="AF20" s="92">
        <v>18000</v>
      </c>
      <c r="AG20" s="92">
        <v>5500</v>
      </c>
      <c r="AH20" s="92">
        <v>5500</v>
      </c>
      <c r="AI20" s="92">
        <v>7000</v>
      </c>
      <c r="AJ20" s="124">
        <v>5500</v>
      </c>
      <c r="AK20" s="92">
        <v>5500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0D906-68ED-4C7A-822B-6099E1E6F6F3}">
  <dimension ref="A1:AC20"/>
  <sheetViews>
    <sheetView topLeftCell="L1" workbookViewId="0">
      <selection activeCell="AC10" sqref="AC10"/>
    </sheetView>
  </sheetViews>
  <sheetFormatPr defaultRowHeight="16.5" x14ac:dyDescent="0.3"/>
  <sheetData>
    <row r="1" spans="1:29" ht="20.25" x14ac:dyDescent="0.2">
      <c r="A1" s="181" t="s">
        <v>78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  <c r="Z1" s="64"/>
      <c r="AA1" s="64"/>
      <c r="AB1" s="64"/>
      <c r="AC1" s="64"/>
    </row>
    <row r="2" spans="1:29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  <c r="Z2" s="64"/>
      <c r="AA2" s="64"/>
      <c r="AB2" s="64"/>
      <c r="AC2" s="64"/>
    </row>
    <row r="3" spans="1:29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  <c r="AA3" s="68">
        <v>21</v>
      </c>
      <c r="AB3" s="68">
        <v>22</v>
      </c>
      <c r="AC3" s="68">
        <v>23</v>
      </c>
    </row>
    <row r="4" spans="1:29" x14ac:dyDescent="0.3">
      <c r="A4" s="144"/>
      <c r="B4" s="146"/>
      <c r="C4" s="148"/>
      <c r="D4" s="150"/>
      <c r="E4" s="152"/>
      <c r="F4" s="69" t="s">
        <v>41</v>
      </c>
      <c r="G4" s="70">
        <v>927</v>
      </c>
      <c r="H4" s="70">
        <v>1222</v>
      </c>
      <c r="I4" s="70">
        <v>1018</v>
      </c>
      <c r="J4" s="70">
        <v>1809</v>
      </c>
      <c r="K4" s="70">
        <v>527</v>
      </c>
      <c r="L4" s="70">
        <v>1414</v>
      </c>
      <c r="M4" s="70">
        <v>1121</v>
      </c>
      <c r="N4" s="70">
        <v>509</v>
      </c>
      <c r="O4" s="70">
        <v>614</v>
      </c>
      <c r="P4" s="70">
        <v>707</v>
      </c>
      <c r="Q4" s="70">
        <v>1425</v>
      </c>
      <c r="R4" s="70">
        <v>1130</v>
      </c>
      <c r="S4" s="70">
        <v>1230</v>
      </c>
      <c r="T4" s="70">
        <v>616</v>
      </c>
      <c r="U4" s="70">
        <v>714</v>
      </c>
      <c r="V4" s="70">
        <v>1515</v>
      </c>
      <c r="W4" s="70">
        <v>1620</v>
      </c>
      <c r="X4" s="70">
        <v>730</v>
      </c>
      <c r="Y4" s="70">
        <v>1502</v>
      </c>
      <c r="Z4" s="70">
        <v>703</v>
      </c>
      <c r="AA4" s="70">
        <v>1025</v>
      </c>
      <c r="AB4" s="70">
        <v>1629</v>
      </c>
      <c r="AC4" s="70">
        <v>727</v>
      </c>
    </row>
    <row r="5" spans="1:29" ht="39.75" x14ac:dyDescent="0.3">
      <c r="A5" s="71" t="s">
        <v>42</v>
      </c>
      <c r="B5" s="72" t="s">
        <v>79</v>
      </c>
      <c r="C5" s="73" t="s">
        <v>65</v>
      </c>
      <c r="D5" s="74">
        <v>6000</v>
      </c>
      <c r="E5" s="75">
        <v>24000</v>
      </c>
      <c r="F5" s="76">
        <v>4</v>
      </c>
      <c r="G5" s="77"/>
      <c r="H5" s="77"/>
      <c r="I5" s="77"/>
      <c r="J5" s="77"/>
      <c r="K5" s="77"/>
      <c r="L5" s="77"/>
      <c r="M5" s="77"/>
      <c r="N5" s="77"/>
      <c r="O5" s="77"/>
      <c r="P5" s="105">
        <v>1</v>
      </c>
      <c r="Q5" s="77"/>
      <c r="R5" s="105">
        <v>1</v>
      </c>
      <c r="S5" s="106">
        <v>1</v>
      </c>
      <c r="T5" s="77"/>
      <c r="U5" s="77"/>
      <c r="V5" s="105">
        <v>1</v>
      </c>
      <c r="W5" s="77"/>
      <c r="X5" s="77"/>
      <c r="Y5" s="77"/>
      <c r="Z5" s="77"/>
      <c r="AA5" s="77"/>
      <c r="AB5" s="77"/>
      <c r="AC5" s="77"/>
    </row>
    <row r="6" spans="1:29" ht="39.75" x14ac:dyDescent="0.3">
      <c r="A6" s="78" t="s">
        <v>44</v>
      </c>
      <c r="B6" s="79" t="s">
        <v>66</v>
      </c>
      <c r="C6" s="80"/>
      <c r="D6" s="81">
        <v>6500</v>
      </c>
      <c r="E6" s="82">
        <v>13000</v>
      </c>
      <c r="F6" s="76">
        <v>2</v>
      </c>
      <c r="G6" s="83"/>
      <c r="H6" s="83"/>
      <c r="I6" s="83"/>
      <c r="J6" s="83"/>
      <c r="K6" s="83"/>
      <c r="L6" s="83"/>
      <c r="M6" s="83"/>
      <c r="N6" s="83"/>
      <c r="O6" s="103">
        <v>1</v>
      </c>
      <c r="P6" s="83"/>
      <c r="Q6" s="83"/>
      <c r="R6" s="83"/>
      <c r="S6" s="83"/>
      <c r="T6" s="83"/>
      <c r="U6" s="83"/>
      <c r="V6" s="83"/>
      <c r="W6" s="103">
        <v>1</v>
      </c>
      <c r="X6" s="83"/>
      <c r="Y6" s="83"/>
      <c r="Z6" s="83"/>
      <c r="AA6" s="83"/>
      <c r="AB6" s="83"/>
      <c r="AC6" s="83"/>
    </row>
    <row r="7" spans="1:29" ht="39.75" x14ac:dyDescent="0.3">
      <c r="A7" s="78" t="s">
        <v>46</v>
      </c>
      <c r="B7" s="79" t="s">
        <v>76</v>
      </c>
      <c r="C7" s="80"/>
      <c r="D7" s="81">
        <v>7000</v>
      </c>
      <c r="E7" s="82">
        <v>0</v>
      </c>
      <c r="F7" s="76">
        <v>0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</row>
    <row r="8" spans="1:29" ht="26.25" x14ac:dyDescent="0.3">
      <c r="A8" s="78" t="s">
        <v>48</v>
      </c>
      <c r="B8" s="79" t="s">
        <v>69</v>
      </c>
      <c r="C8" s="80"/>
      <c r="D8" s="81">
        <v>5500</v>
      </c>
      <c r="E8" s="82">
        <v>99000</v>
      </c>
      <c r="F8" s="76">
        <v>18</v>
      </c>
      <c r="G8" s="107">
        <v>1</v>
      </c>
      <c r="H8" s="103">
        <v>1</v>
      </c>
      <c r="I8" s="104">
        <v>1</v>
      </c>
      <c r="J8" s="104">
        <v>1</v>
      </c>
      <c r="K8" s="107">
        <v>1</v>
      </c>
      <c r="L8" s="83"/>
      <c r="M8" s="104">
        <v>2</v>
      </c>
      <c r="N8" s="103">
        <v>1</v>
      </c>
      <c r="O8" s="83"/>
      <c r="P8" s="83"/>
      <c r="Q8" s="83"/>
      <c r="R8" s="83"/>
      <c r="S8" s="83"/>
      <c r="T8" s="103">
        <v>2</v>
      </c>
      <c r="U8" s="104">
        <v>1</v>
      </c>
      <c r="V8" s="83"/>
      <c r="W8" s="103">
        <v>2</v>
      </c>
      <c r="X8" s="104">
        <v>2</v>
      </c>
      <c r="Y8" s="83"/>
      <c r="Z8" s="103">
        <v>1</v>
      </c>
      <c r="AA8" s="104">
        <v>2</v>
      </c>
      <c r="AB8" s="83"/>
      <c r="AC8" s="83"/>
    </row>
    <row r="9" spans="1:29" ht="26.25" x14ac:dyDescent="0.3">
      <c r="A9" s="78" t="s">
        <v>50</v>
      </c>
      <c r="B9" s="79" t="s">
        <v>70</v>
      </c>
      <c r="C9" s="80"/>
      <c r="D9" s="81">
        <v>4000</v>
      </c>
      <c r="E9" s="82">
        <v>8000</v>
      </c>
      <c r="F9" s="76">
        <v>2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104">
        <v>1</v>
      </c>
      <c r="AB9" s="107">
        <v>1</v>
      </c>
      <c r="AC9" s="83"/>
    </row>
    <row r="10" spans="1:29" ht="27" x14ac:dyDescent="0.3">
      <c r="A10" s="78" t="s">
        <v>52</v>
      </c>
      <c r="B10" s="79" t="s">
        <v>71</v>
      </c>
      <c r="C10" s="80"/>
      <c r="D10" s="81">
        <v>4000</v>
      </c>
      <c r="E10" s="82">
        <v>24000</v>
      </c>
      <c r="F10" s="76">
        <v>6</v>
      </c>
      <c r="G10" s="107">
        <v>1</v>
      </c>
      <c r="H10" s="103">
        <v>1</v>
      </c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103">
        <v>1</v>
      </c>
      <c r="X10" s="83"/>
      <c r="Y10" s="103">
        <v>1</v>
      </c>
      <c r="Z10" s="83"/>
      <c r="AA10" s="104">
        <v>1</v>
      </c>
      <c r="AB10" s="83"/>
      <c r="AC10" s="107">
        <v>1</v>
      </c>
    </row>
    <row r="11" spans="1:29" ht="39" x14ac:dyDescent="0.3">
      <c r="A11" s="78" t="s">
        <v>54</v>
      </c>
      <c r="B11" s="79" t="s">
        <v>72</v>
      </c>
      <c r="C11" s="80"/>
      <c r="D11" s="81">
        <v>4000</v>
      </c>
      <c r="E11" s="82">
        <v>4000</v>
      </c>
      <c r="F11" s="76">
        <v>1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104">
        <v>1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</row>
    <row r="12" spans="1:29" ht="26.25" x14ac:dyDescent="0.3">
      <c r="A12" s="78" t="s">
        <v>56</v>
      </c>
      <c r="B12" s="79" t="s">
        <v>71</v>
      </c>
      <c r="C12" s="80"/>
      <c r="D12" s="81">
        <v>5000</v>
      </c>
      <c r="E12" s="82">
        <v>10000</v>
      </c>
      <c r="F12" s="76">
        <v>2</v>
      </c>
      <c r="G12" s="84"/>
      <c r="H12" s="84"/>
      <c r="I12" s="84"/>
      <c r="J12" s="84"/>
      <c r="K12" s="84"/>
      <c r="L12" s="108">
        <v>1</v>
      </c>
      <c r="M12" s="84"/>
      <c r="N12" s="127">
        <v>1</v>
      </c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</row>
    <row r="13" spans="1:29" ht="39" x14ac:dyDescent="0.3">
      <c r="A13" s="78" t="s">
        <v>57</v>
      </c>
      <c r="B13" s="79" t="s">
        <v>65</v>
      </c>
      <c r="C13" s="80"/>
      <c r="D13" s="81">
        <v>7000</v>
      </c>
      <c r="E13" s="82">
        <v>14000</v>
      </c>
      <c r="F13" s="76">
        <v>2</v>
      </c>
      <c r="G13" s="83"/>
      <c r="H13" s="83"/>
      <c r="I13" s="83"/>
      <c r="J13" s="83"/>
      <c r="K13" s="83"/>
      <c r="L13" s="83"/>
      <c r="M13" s="104">
        <v>1</v>
      </c>
      <c r="N13" s="83"/>
      <c r="O13" s="83"/>
      <c r="P13" s="103">
        <v>1</v>
      </c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</row>
    <row r="14" spans="1:29" ht="26.25" x14ac:dyDescent="0.3">
      <c r="A14" s="78" t="s">
        <v>58</v>
      </c>
      <c r="B14" s="79" t="s">
        <v>77</v>
      </c>
      <c r="C14" s="80"/>
      <c r="D14" s="81">
        <v>7000</v>
      </c>
      <c r="E14" s="82">
        <v>0</v>
      </c>
      <c r="F14" s="76">
        <v>0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 spans="1:29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</row>
    <row r="16" spans="1:29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</row>
    <row r="17" spans="1:29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</row>
    <row r="18" spans="1:29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 spans="1:29" x14ac:dyDescent="0.3">
      <c r="A19" s="153" t="s">
        <v>64</v>
      </c>
      <c r="B19" s="154"/>
      <c r="C19" s="155"/>
      <c r="D19" s="159">
        <v>61500</v>
      </c>
      <c r="E19" s="141">
        <v>196000</v>
      </c>
      <c r="F19" s="141">
        <v>37</v>
      </c>
      <c r="G19" s="90">
        <v>2</v>
      </c>
      <c r="H19" s="90">
        <v>2</v>
      </c>
      <c r="I19" s="90">
        <v>1</v>
      </c>
      <c r="J19" s="90">
        <v>1</v>
      </c>
      <c r="K19" s="90">
        <v>1</v>
      </c>
      <c r="L19" s="90">
        <v>1</v>
      </c>
      <c r="M19" s="90">
        <v>3</v>
      </c>
      <c r="N19" s="90">
        <v>2</v>
      </c>
      <c r="O19" s="90">
        <v>1</v>
      </c>
      <c r="P19" s="90">
        <v>2</v>
      </c>
      <c r="Q19" s="90">
        <v>1</v>
      </c>
      <c r="R19" s="90">
        <v>1</v>
      </c>
      <c r="S19" s="90">
        <v>1</v>
      </c>
      <c r="T19" s="90">
        <v>2</v>
      </c>
      <c r="U19" s="90">
        <v>1</v>
      </c>
      <c r="V19" s="90">
        <v>1</v>
      </c>
      <c r="W19" s="90">
        <v>4</v>
      </c>
      <c r="X19" s="90">
        <v>2</v>
      </c>
      <c r="Y19" s="90">
        <v>1</v>
      </c>
      <c r="Z19" s="90">
        <v>1</v>
      </c>
      <c r="AA19" s="90">
        <v>4</v>
      </c>
      <c r="AB19" s="90">
        <v>1</v>
      </c>
      <c r="AC19" s="90">
        <v>1</v>
      </c>
    </row>
    <row r="20" spans="1:29" x14ac:dyDescent="0.3">
      <c r="A20" s="156"/>
      <c r="B20" s="157"/>
      <c r="C20" s="158"/>
      <c r="D20" s="160"/>
      <c r="E20" s="142"/>
      <c r="F20" s="142"/>
      <c r="G20" s="91">
        <v>9500</v>
      </c>
      <c r="H20" s="92">
        <v>9500</v>
      </c>
      <c r="I20" s="92">
        <v>5500</v>
      </c>
      <c r="J20" s="92">
        <v>5500</v>
      </c>
      <c r="K20" s="92">
        <v>5500</v>
      </c>
      <c r="L20" s="92">
        <v>5000</v>
      </c>
      <c r="M20" s="92">
        <v>18000</v>
      </c>
      <c r="N20" s="92">
        <v>10500</v>
      </c>
      <c r="O20" s="92">
        <v>6500</v>
      </c>
      <c r="P20" s="92">
        <v>13000</v>
      </c>
      <c r="Q20" s="92">
        <v>4000</v>
      </c>
      <c r="R20" s="92">
        <v>6000</v>
      </c>
      <c r="S20" s="92">
        <v>6000</v>
      </c>
      <c r="T20" s="92">
        <v>11000</v>
      </c>
      <c r="U20" s="92">
        <v>5500</v>
      </c>
      <c r="V20" s="92">
        <v>6000</v>
      </c>
      <c r="W20" s="92">
        <v>21500</v>
      </c>
      <c r="X20" s="92">
        <v>11000</v>
      </c>
      <c r="Y20" s="92">
        <v>4000</v>
      </c>
      <c r="Z20" s="92">
        <v>5500</v>
      </c>
      <c r="AA20" s="92">
        <v>19000</v>
      </c>
      <c r="AB20" s="92">
        <v>4000</v>
      </c>
      <c r="AC20" s="92">
        <v>4000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6027-50C7-42BC-B906-8C60373F91F1}">
  <dimension ref="A1:U20"/>
  <sheetViews>
    <sheetView workbookViewId="0">
      <selection activeCell="L11" sqref="L11"/>
    </sheetView>
  </sheetViews>
  <sheetFormatPr defaultRowHeight="16.5" x14ac:dyDescent="0.3"/>
  <sheetData>
    <row r="1" spans="1:21" ht="20.25" x14ac:dyDescent="0.3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1:21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1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</row>
    <row r="4" spans="1:21" x14ac:dyDescent="0.3">
      <c r="A4" s="144"/>
      <c r="B4" s="146"/>
      <c r="C4" s="148"/>
      <c r="D4" s="150"/>
      <c r="E4" s="152"/>
      <c r="F4" s="69" t="s">
        <v>41</v>
      </c>
      <c r="G4" s="70">
        <v>1523</v>
      </c>
      <c r="H4" s="70">
        <v>1601</v>
      </c>
      <c r="I4" s="70">
        <v>1703</v>
      </c>
      <c r="J4" s="70">
        <v>805</v>
      </c>
      <c r="K4" s="70">
        <v>1720</v>
      </c>
      <c r="L4" s="70">
        <v>802</v>
      </c>
      <c r="M4" s="70">
        <v>512</v>
      </c>
      <c r="N4" s="70">
        <v>1215</v>
      </c>
      <c r="O4" s="70">
        <v>1809</v>
      </c>
      <c r="P4" s="70">
        <v>1714</v>
      </c>
      <c r="Q4" s="70">
        <v>1021</v>
      </c>
      <c r="R4" s="70">
        <v>1017</v>
      </c>
      <c r="S4" s="70">
        <v>1025</v>
      </c>
      <c r="T4" s="70">
        <v>719</v>
      </c>
      <c r="U4" s="70">
        <v>1025</v>
      </c>
    </row>
    <row r="5" spans="1:21" ht="39.75" x14ac:dyDescent="0.3">
      <c r="A5" s="71" t="s">
        <v>42</v>
      </c>
      <c r="B5" s="72" t="s">
        <v>79</v>
      </c>
      <c r="C5" s="73" t="s">
        <v>65</v>
      </c>
      <c r="D5" s="74">
        <v>6000</v>
      </c>
      <c r="E5" s="75">
        <v>18000</v>
      </c>
      <c r="F5" s="76">
        <v>3</v>
      </c>
      <c r="G5" s="77"/>
      <c r="H5" s="77"/>
      <c r="I5" s="77"/>
      <c r="J5" s="77"/>
      <c r="K5" s="77"/>
      <c r="L5" s="77"/>
      <c r="M5" s="77"/>
      <c r="N5" s="77"/>
      <c r="O5" s="77"/>
      <c r="P5" s="105">
        <v>1</v>
      </c>
      <c r="Q5" s="77"/>
      <c r="R5" s="77"/>
      <c r="S5" s="77"/>
      <c r="T5" s="125">
        <v>1</v>
      </c>
      <c r="U5" s="105">
        <v>1</v>
      </c>
    </row>
    <row r="6" spans="1:21" ht="39.75" x14ac:dyDescent="0.3">
      <c r="A6" s="78" t="s">
        <v>44</v>
      </c>
      <c r="B6" s="79" t="s">
        <v>66</v>
      </c>
      <c r="C6" s="80"/>
      <c r="D6" s="81">
        <v>6500</v>
      </c>
      <c r="E6" s="82">
        <v>26000</v>
      </c>
      <c r="F6" s="76">
        <v>4</v>
      </c>
      <c r="G6" s="83"/>
      <c r="H6" s="83"/>
      <c r="I6" s="83"/>
      <c r="J6" s="111">
        <v>1</v>
      </c>
      <c r="K6" s="83"/>
      <c r="L6" s="83"/>
      <c r="M6" s="83"/>
      <c r="N6" s="83"/>
      <c r="O6" s="83"/>
      <c r="P6" s="103">
        <v>1</v>
      </c>
      <c r="Q6" s="103">
        <v>1</v>
      </c>
      <c r="R6" s="83"/>
      <c r="S6" s="83"/>
      <c r="T6" s="107">
        <v>1</v>
      </c>
      <c r="U6" s="83"/>
    </row>
    <row r="7" spans="1:21" ht="39.75" x14ac:dyDescent="0.3">
      <c r="A7" s="78" t="s">
        <v>46</v>
      </c>
      <c r="B7" s="79" t="s">
        <v>76</v>
      </c>
      <c r="C7" s="80"/>
      <c r="D7" s="81">
        <v>7000</v>
      </c>
      <c r="E7" s="82">
        <v>21000</v>
      </c>
      <c r="F7" s="76">
        <v>3</v>
      </c>
      <c r="G7" s="83"/>
      <c r="H7" s="83"/>
      <c r="I7" s="83"/>
      <c r="J7" s="111">
        <v>1</v>
      </c>
      <c r="K7" s="83"/>
      <c r="L7" s="111">
        <v>1</v>
      </c>
      <c r="M7" s="83"/>
      <c r="N7" s="83"/>
      <c r="O7" s="83"/>
      <c r="P7" s="83"/>
      <c r="Q7" s="83"/>
      <c r="R7" s="83"/>
      <c r="S7" s="83"/>
      <c r="T7" s="107">
        <v>1</v>
      </c>
      <c r="U7" s="83"/>
    </row>
    <row r="8" spans="1:21" ht="26.25" x14ac:dyDescent="0.3">
      <c r="A8" s="78" t="s">
        <v>48</v>
      </c>
      <c r="B8" s="79" t="s">
        <v>69</v>
      </c>
      <c r="C8" s="80"/>
      <c r="D8" s="81">
        <v>5500</v>
      </c>
      <c r="E8" s="82">
        <v>27500</v>
      </c>
      <c r="F8" s="76">
        <v>5</v>
      </c>
      <c r="G8" s="83"/>
      <c r="H8" s="107">
        <v>1</v>
      </c>
      <c r="I8" s="83"/>
      <c r="J8" s="83"/>
      <c r="K8" s="83"/>
      <c r="L8" s="83"/>
      <c r="M8" s="103">
        <v>2</v>
      </c>
      <c r="N8" s="83"/>
      <c r="O8" s="83"/>
      <c r="P8" s="83"/>
      <c r="Q8" s="83"/>
      <c r="R8" s="107">
        <v>1</v>
      </c>
      <c r="S8" s="103">
        <v>1</v>
      </c>
      <c r="T8" s="83"/>
      <c r="U8" s="83"/>
    </row>
    <row r="9" spans="1:21" ht="26.25" x14ac:dyDescent="0.3">
      <c r="A9" s="78" t="s">
        <v>50</v>
      </c>
      <c r="B9" s="79" t="s">
        <v>70</v>
      </c>
      <c r="C9" s="80"/>
      <c r="D9" s="81">
        <v>4000</v>
      </c>
      <c r="E9" s="82">
        <v>4000</v>
      </c>
      <c r="F9" s="76">
        <v>1</v>
      </c>
      <c r="G9" s="103">
        <v>1</v>
      </c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</row>
    <row r="10" spans="1:21" ht="27" x14ac:dyDescent="0.3">
      <c r="A10" s="78" t="s">
        <v>52</v>
      </c>
      <c r="B10" s="79" t="s">
        <v>71</v>
      </c>
      <c r="C10" s="80"/>
      <c r="D10" s="81">
        <v>4000</v>
      </c>
      <c r="E10" s="82">
        <v>12000</v>
      </c>
      <c r="F10" s="76">
        <v>3</v>
      </c>
      <c r="G10" s="83"/>
      <c r="H10" s="83"/>
      <c r="I10" s="107">
        <v>1</v>
      </c>
      <c r="J10" s="83"/>
      <c r="K10" s="83"/>
      <c r="L10" s="83"/>
      <c r="M10" s="83"/>
      <c r="N10" s="103">
        <v>1</v>
      </c>
      <c r="O10" s="104">
        <v>1</v>
      </c>
      <c r="P10" s="83"/>
      <c r="Q10" s="83"/>
      <c r="R10" s="83"/>
      <c r="S10" s="83"/>
      <c r="T10" s="83"/>
      <c r="U10" s="83"/>
    </row>
    <row r="11" spans="1:21" ht="39" x14ac:dyDescent="0.3">
      <c r="A11" s="78" t="s">
        <v>54</v>
      </c>
      <c r="B11" s="79" t="s">
        <v>72</v>
      </c>
      <c r="C11" s="80"/>
      <c r="D11" s="81">
        <v>4000</v>
      </c>
      <c r="E11" s="82">
        <v>4000</v>
      </c>
      <c r="F11" s="76">
        <v>1</v>
      </c>
      <c r="G11" s="83"/>
      <c r="H11" s="103">
        <v>1</v>
      </c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</row>
    <row r="12" spans="1:21" ht="26.25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</row>
    <row r="13" spans="1:21" ht="39" x14ac:dyDescent="0.3">
      <c r="A13" s="78" t="s">
        <v>57</v>
      </c>
      <c r="B13" s="79" t="s">
        <v>65</v>
      </c>
      <c r="C13" s="80"/>
      <c r="D13" s="81">
        <v>7000</v>
      </c>
      <c r="E13" s="82">
        <v>0</v>
      </c>
      <c r="F13" s="76">
        <v>0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</row>
    <row r="14" spans="1:21" ht="26.25" x14ac:dyDescent="0.3">
      <c r="A14" s="78" t="s">
        <v>58</v>
      </c>
      <c r="B14" s="79" t="s">
        <v>77</v>
      </c>
      <c r="C14" s="80"/>
      <c r="D14" s="81">
        <v>7000</v>
      </c>
      <c r="E14" s="82">
        <v>14000</v>
      </c>
      <c r="F14" s="76">
        <v>2</v>
      </c>
      <c r="G14" s="83"/>
      <c r="H14" s="83"/>
      <c r="I14" s="83"/>
      <c r="J14" s="83"/>
      <c r="K14" s="111">
        <v>1</v>
      </c>
      <c r="L14" s="83"/>
      <c r="M14" s="83"/>
      <c r="N14" s="83"/>
      <c r="O14" s="83"/>
      <c r="P14" s="83"/>
      <c r="Q14" s="83"/>
      <c r="R14" s="83"/>
      <c r="S14" s="83"/>
      <c r="T14" s="107">
        <v>1</v>
      </c>
      <c r="U14" s="83"/>
    </row>
    <row r="15" spans="1:21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</row>
    <row r="16" spans="1:21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</row>
    <row r="17" spans="1:21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</row>
    <row r="18" spans="1:21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</row>
    <row r="19" spans="1:21" x14ac:dyDescent="0.3">
      <c r="A19" s="153" t="s">
        <v>64</v>
      </c>
      <c r="B19" s="154"/>
      <c r="C19" s="155"/>
      <c r="D19" s="159">
        <v>61500</v>
      </c>
      <c r="E19" s="141">
        <v>126500</v>
      </c>
      <c r="F19" s="141">
        <v>22</v>
      </c>
      <c r="G19" s="90">
        <v>1</v>
      </c>
      <c r="H19" s="90">
        <v>2</v>
      </c>
      <c r="I19" s="90">
        <v>1</v>
      </c>
      <c r="J19" s="90">
        <v>2</v>
      </c>
      <c r="K19" s="90">
        <v>1</v>
      </c>
      <c r="L19" s="90">
        <v>1</v>
      </c>
      <c r="M19" s="90">
        <v>2</v>
      </c>
      <c r="N19" s="90">
        <v>1</v>
      </c>
      <c r="O19" s="90">
        <v>1</v>
      </c>
      <c r="P19" s="90">
        <v>2</v>
      </c>
      <c r="Q19" s="90">
        <v>1</v>
      </c>
      <c r="R19" s="90">
        <v>1</v>
      </c>
      <c r="S19" s="90">
        <v>1</v>
      </c>
      <c r="T19" s="90">
        <v>4</v>
      </c>
      <c r="U19" s="90">
        <v>1</v>
      </c>
    </row>
    <row r="20" spans="1:21" x14ac:dyDescent="0.3">
      <c r="A20" s="156"/>
      <c r="B20" s="157"/>
      <c r="C20" s="158"/>
      <c r="D20" s="160"/>
      <c r="E20" s="142"/>
      <c r="F20" s="142"/>
      <c r="G20" s="91">
        <v>4000</v>
      </c>
      <c r="H20" s="92">
        <v>9500</v>
      </c>
      <c r="I20" s="92">
        <v>4000</v>
      </c>
      <c r="J20" s="92">
        <v>13500</v>
      </c>
      <c r="K20" s="92">
        <v>7000</v>
      </c>
      <c r="L20" s="92">
        <v>7000</v>
      </c>
      <c r="M20" s="92">
        <v>11000</v>
      </c>
      <c r="N20" s="92">
        <v>4000</v>
      </c>
      <c r="O20" s="92">
        <v>4000</v>
      </c>
      <c r="P20" s="92">
        <v>12500</v>
      </c>
      <c r="Q20" s="92">
        <v>6500</v>
      </c>
      <c r="R20" s="92">
        <v>5500</v>
      </c>
      <c r="S20" s="92">
        <v>5500</v>
      </c>
      <c r="T20" s="92">
        <v>26500</v>
      </c>
      <c r="U20" s="92">
        <v>6000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6DC9-4AD5-4ACA-9784-ADA4EA918E02}">
  <dimension ref="A1:AC20"/>
  <sheetViews>
    <sheetView workbookViewId="0">
      <pane xSplit="5" ySplit="1" topLeftCell="S2" activePane="bottomRight" state="frozen"/>
      <selection pane="topRight" activeCell="F1" sqref="F1"/>
      <selection pane="bottomLeft" activeCell="A2" sqref="A2"/>
      <selection pane="bottomRight" activeCell="Y12" sqref="Y12"/>
    </sheetView>
  </sheetViews>
  <sheetFormatPr defaultRowHeight="16.5" x14ac:dyDescent="0.3"/>
  <sheetData>
    <row r="1" spans="1:29" ht="20.25" x14ac:dyDescent="0.3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1:29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9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  <c r="AA3" s="68">
        <v>21</v>
      </c>
      <c r="AB3" s="68">
        <v>22</v>
      </c>
      <c r="AC3" s="68">
        <v>23</v>
      </c>
    </row>
    <row r="4" spans="1:29" x14ac:dyDescent="0.3">
      <c r="A4" s="144"/>
      <c r="B4" s="146"/>
      <c r="C4" s="148"/>
      <c r="D4" s="150"/>
      <c r="E4" s="152"/>
      <c r="F4" s="69" t="s">
        <v>41</v>
      </c>
      <c r="G4" s="70">
        <v>1714</v>
      </c>
      <c r="H4" s="70">
        <v>1506</v>
      </c>
      <c r="I4" s="70">
        <v>1021</v>
      </c>
      <c r="J4" s="70">
        <v>707</v>
      </c>
      <c r="K4" s="70">
        <v>1214</v>
      </c>
      <c r="L4" s="70">
        <v>1416</v>
      </c>
      <c r="M4" s="70">
        <v>1406</v>
      </c>
      <c r="N4" s="70">
        <v>1714</v>
      </c>
      <c r="O4" s="70">
        <v>1220</v>
      </c>
      <c r="P4" s="70">
        <v>1523</v>
      </c>
      <c r="Q4" s="70">
        <v>1422</v>
      </c>
      <c r="R4" s="70">
        <v>1121</v>
      </c>
      <c r="S4" s="70">
        <v>1419</v>
      </c>
      <c r="T4" s="70">
        <v>1425</v>
      </c>
      <c r="U4" s="70">
        <v>1626</v>
      </c>
      <c r="V4" s="70">
        <v>706</v>
      </c>
      <c r="W4" s="70">
        <v>926</v>
      </c>
      <c r="X4" s="70">
        <v>916</v>
      </c>
      <c r="Y4" s="70">
        <v>723</v>
      </c>
      <c r="Z4" s="70">
        <v>1602</v>
      </c>
      <c r="AA4" s="70">
        <v>1127</v>
      </c>
      <c r="AB4" s="70">
        <v>1805</v>
      </c>
      <c r="AC4" s="70">
        <v>1621</v>
      </c>
    </row>
    <row r="5" spans="1:29" ht="39.75" x14ac:dyDescent="0.3">
      <c r="A5" s="71" t="s">
        <v>42</v>
      </c>
      <c r="B5" s="72" t="s">
        <v>79</v>
      </c>
      <c r="C5" s="73" t="s">
        <v>65</v>
      </c>
      <c r="D5" s="74">
        <v>6000</v>
      </c>
      <c r="E5" s="75">
        <v>18000</v>
      </c>
      <c r="F5" s="76">
        <v>3</v>
      </c>
      <c r="G5" s="77"/>
      <c r="H5" s="77"/>
      <c r="I5" s="125">
        <v>1</v>
      </c>
      <c r="J5" s="106">
        <v>1</v>
      </c>
      <c r="K5" s="77"/>
      <c r="L5" s="77"/>
      <c r="M5" s="77"/>
      <c r="N5" s="77"/>
      <c r="O5" s="77"/>
      <c r="P5" s="106">
        <v>1</v>
      </c>
      <c r="Q5" s="77"/>
      <c r="R5" s="77"/>
      <c r="S5" s="106">
        <v>1</v>
      </c>
      <c r="T5" s="106">
        <v>1</v>
      </c>
      <c r="U5" s="77"/>
      <c r="V5" s="77"/>
      <c r="W5" s="77"/>
      <c r="X5" s="77"/>
      <c r="Y5" s="106">
        <v>1</v>
      </c>
      <c r="Z5" s="77"/>
      <c r="AA5" s="77"/>
      <c r="AB5" s="125">
        <v>1</v>
      </c>
      <c r="AC5" s="77"/>
    </row>
    <row r="6" spans="1:29" ht="39.75" x14ac:dyDescent="0.3">
      <c r="A6" s="78" t="s">
        <v>44</v>
      </c>
      <c r="B6" s="79" t="s">
        <v>66</v>
      </c>
      <c r="C6" s="80"/>
      <c r="D6" s="81">
        <v>6500</v>
      </c>
      <c r="E6" s="82">
        <v>26000</v>
      </c>
      <c r="F6" s="76">
        <v>4</v>
      </c>
      <c r="G6" s="83"/>
      <c r="H6" s="104">
        <v>1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</row>
    <row r="7" spans="1:29" ht="39.75" x14ac:dyDescent="0.3">
      <c r="A7" s="78" t="s">
        <v>46</v>
      </c>
      <c r="B7" s="79" t="s">
        <v>76</v>
      </c>
      <c r="C7" s="80"/>
      <c r="D7" s="81">
        <v>7000</v>
      </c>
      <c r="E7" s="82">
        <v>21000</v>
      </c>
      <c r="F7" s="76">
        <v>3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104">
        <v>1</v>
      </c>
      <c r="U7" s="83"/>
      <c r="V7" s="83"/>
      <c r="W7" s="83"/>
      <c r="X7" s="83"/>
      <c r="Y7" s="104">
        <v>1</v>
      </c>
      <c r="Z7" s="83"/>
      <c r="AA7" s="83"/>
      <c r="AB7" s="107">
        <v>1</v>
      </c>
      <c r="AC7" s="83"/>
    </row>
    <row r="8" spans="1:29" ht="26.25" x14ac:dyDescent="0.3">
      <c r="A8" s="78" t="s">
        <v>48</v>
      </c>
      <c r="B8" s="79" t="s">
        <v>69</v>
      </c>
      <c r="C8" s="80"/>
      <c r="D8" s="81">
        <v>5500</v>
      </c>
      <c r="E8" s="82">
        <v>27500</v>
      </c>
      <c r="F8" s="76">
        <v>5</v>
      </c>
      <c r="G8" s="83"/>
      <c r="H8" s="83"/>
      <c r="I8" s="83"/>
      <c r="J8" s="83"/>
      <c r="K8" s="83"/>
      <c r="L8" s="83"/>
      <c r="M8" s="83"/>
      <c r="N8" s="83"/>
      <c r="O8" s="104">
        <v>2</v>
      </c>
      <c r="P8" s="83"/>
      <c r="Q8" s="104">
        <v>1</v>
      </c>
      <c r="R8" s="103">
        <v>1</v>
      </c>
      <c r="S8" s="104">
        <v>1</v>
      </c>
      <c r="T8" s="83"/>
      <c r="U8" s="83"/>
      <c r="V8" s="83"/>
      <c r="W8" s="104">
        <v>2</v>
      </c>
      <c r="X8" s="83"/>
      <c r="Y8" s="83"/>
      <c r="Z8" s="83"/>
      <c r="AA8" s="83"/>
      <c r="AB8" s="83"/>
      <c r="AC8" s="83"/>
    </row>
    <row r="9" spans="1:29" ht="26.25" x14ac:dyDescent="0.3">
      <c r="A9" s="78" t="s">
        <v>50</v>
      </c>
      <c r="B9" s="79" t="s">
        <v>70</v>
      </c>
      <c r="C9" s="80"/>
      <c r="D9" s="81">
        <v>4000</v>
      </c>
      <c r="E9" s="82">
        <v>4000</v>
      </c>
      <c r="F9" s="76">
        <v>1</v>
      </c>
      <c r="G9" s="83"/>
      <c r="H9" s="83"/>
      <c r="I9" s="83"/>
      <c r="J9" s="83"/>
      <c r="K9" s="83"/>
      <c r="L9" s="83"/>
      <c r="M9" s="83"/>
      <c r="N9" s="83"/>
      <c r="O9" s="83"/>
      <c r="P9" s="104">
        <v>1</v>
      </c>
      <c r="Q9" s="83"/>
      <c r="R9" s="83"/>
      <c r="S9" s="83"/>
      <c r="T9" s="83"/>
      <c r="U9" s="107">
        <v>1</v>
      </c>
      <c r="V9" s="83"/>
      <c r="W9" s="83"/>
      <c r="X9" s="83"/>
      <c r="Y9" s="83"/>
      <c r="Z9" s="83"/>
      <c r="AA9" s="83"/>
      <c r="AB9" s="83"/>
      <c r="AC9" s="83"/>
    </row>
    <row r="10" spans="1:29" ht="27" x14ac:dyDescent="0.3">
      <c r="A10" s="78" t="s">
        <v>52</v>
      </c>
      <c r="B10" s="79" t="s">
        <v>71</v>
      </c>
      <c r="C10" s="80"/>
      <c r="D10" s="81">
        <v>4000</v>
      </c>
      <c r="E10" s="82">
        <v>12000</v>
      </c>
      <c r="F10" s="76">
        <v>3</v>
      </c>
      <c r="G10" s="83"/>
      <c r="H10" s="83"/>
      <c r="I10" s="83"/>
      <c r="J10" s="83"/>
      <c r="K10" s="104">
        <v>1</v>
      </c>
      <c r="L10" s="103">
        <v>1</v>
      </c>
      <c r="M10" s="83"/>
      <c r="N10" s="83"/>
      <c r="O10" s="83"/>
      <c r="P10" s="83"/>
      <c r="Q10" s="83"/>
      <c r="R10" s="83"/>
      <c r="S10" s="83"/>
      <c r="T10" s="104">
        <v>1</v>
      </c>
      <c r="U10" s="83"/>
      <c r="V10" s="83"/>
      <c r="W10" s="83"/>
      <c r="X10" s="83"/>
      <c r="Y10" s="83"/>
      <c r="Z10" s="83"/>
      <c r="AA10" s="103">
        <v>1</v>
      </c>
      <c r="AB10" s="83"/>
      <c r="AC10" s="103">
        <v>1</v>
      </c>
    </row>
    <row r="11" spans="1:29" ht="39" x14ac:dyDescent="0.3">
      <c r="A11" s="78" t="s">
        <v>54</v>
      </c>
      <c r="B11" s="79" t="s">
        <v>72</v>
      </c>
      <c r="C11" s="80"/>
      <c r="D11" s="81">
        <v>4000</v>
      </c>
      <c r="E11" s="82">
        <v>4000</v>
      </c>
      <c r="F11" s="76">
        <v>1</v>
      </c>
      <c r="G11" s="83"/>
      <c r="H11" s="83"/>
      <c r="I11" s="83"/>
      <c r="J11" s="104">
        <v>1</v>
      </c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104">
        <v>1</v>
      </c>
      <c r="AA11" s="83"/>
      <c r="AB11" s="83"/>
      <c r="AC11" s="83"/>
    </row>
    <row r="12" spans="1:29" ht="26.25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110">
        <v>1</v>
      </c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108">
        <v>1</v>
      </c>
      <c r="Z12" s="84"/>
      <c r="AA12" s="84"/>
      <c r="AB12" s="84"/>
      <c r="AC12" s="84"/>
    </row>
    <row r="13" spans="1:29" ht="39" x14ac:dyDescent="0.3">
      <c r="A13" s="78" t="s">
        <v>57</v>
      </c>
      <c r="B13" s="79" t="s">
        <v>65</v>
      </c>
      <c r="C13" s="80"/>
      <c r="D13" s="81">
        <v>7000</v>
      </c>
      <c r="E13" s="82">
        <v>0</v>
      </c>
      <c r="F13" s="76">
        <v>0</v>
      </c>
      <c r="G13" s="104">
        <v>2</v>
      </c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103">
        <v>1</v>
      </c>
      <c r="S13" s="83"/>
      <c r="T13" s="83"/>
      <c r="U13" s="83"/>
      <c r="V13" s="83"/>
      <c r="W13" s="83"/>
      <c r="X13" s="104">
        <v>1</v>
      </c>
      <c r="Y13" s="83"/>
      <c r="Z13" s="83"/>
      <c r="AA13" s="83"/>
      <c r="AB13" s="83"/>
      <c r="AC13" s="83"/>
    </row>
    <row r="14" spans="1:29" ht="26.25" x14ac:dyDescent="0.3">
      <c r="A14" s="78" t="s">
        <v>58</v>
      </c>
      <c r="B14" s="79" t="s">
        <v>77</v>
      </c>
      <c r="C14" s="80"/>
      <c r="D14" s="81">
        <v>7000</v>
      </c>
      <c r="E14" s="82">
        <v>14000</v>
      </c>
      <c r="F14" s="76">
        <v>2</v>
      </c>
      <c r="G14" s="104">
        <v>2</v>
      </c>
      <c r="H14" s="83"/>
      <c r="I14" s="83"/>
      <c r="J14" s="83"/>
      <c r="K14" s="83"/>
      <c r="L14" s="83"/>
      <c r="M14" s="83"/>
      <c r="N14" s="104">
        <v>1</v>
      </c>
      <c r="O14" s="83"/>
      <c r="P14" s="83"/>
      <c r="Q14" s="83"/>
      <c r="R14" s="103">
        <v>1</v>
      </c>
      <c r="S14" s="83"/>
      <c r="T14" s="83"/>
      <c r="U14" s="83"/>
      <c r="V14" s="104">
        <v>1</v>
      </c>
      <c r="W14" s="83"/>
      <c r="X14" s="104">
        <v>1</v>
      </c>
      <c r="Y14" s="83"/>
      <c r="Z14" s="83"/>
      <c r="AA14" s="83"/>
      <c r="AB14" s="83"/>
      <c r="AC14" s="83"/>
    </row>
    <row r="15" spans="1:29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</row>
    <row r="16" spans="1:29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</row>
    <row r="17" spans="1:29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</row>
    <row r="18" spans="1:29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</row>
    <row r="19" spans="1:29" x14ac:dyDescent="0.3">
      <c r="A19" s="153" t="s">
        <v>64</v>
      </c>
      <c r="B19" s="154"/>
      <c r="C19" s="155"/>
      <c r="D19" s="159">
        <v>61500</v>
      </c>
      <c r="E19" s="141">
        <v>126500</v>
      </c>
      <c r="F19" s="141">
        <v>22</v>
      </c>
      <c r="G19" s="90">
        <v>4</v>
      </c>
      <c r="H19" s="90">
        <v>1</v>
      </c>
      <c r="I19" s="90">
        <v>1</v>
      </c>
      <c r="J19" s="90">
        <v>2</v>
      </c>
      <c r="K19" s="90">
        <v>1</v>
      </c>
      <c r="L19" s="90">
        <v>1</v>
      </c>
      <c r="M19" s="90">
        <v>1</v>
      </c>
      <c r="N19" s="90">
        <v>1</v>
      </c>
      <c r="O19" s="90">
        <v>2</v>
      </c>
      <c r="P19" s="90">
        <v>2</v>
      </c>
      <c r="Q19" s="90">
        <v>1</v>
      </c>
      <c r="R19" s="90">
        <v>3</v>
      </c>
      <c r="S19" s="90">
        <v>2</v>
      </c>
      <c r="T19" s="90">
        <v>3</v>
      </c>
      <c r="U19" s="90">
        <v>1</v>
      </c>
      <c r="V19" s="90">
        <v>1</v>
      </c>
      <c r="W19" s="90">
        <v>2</v>
      </c>
      <c r="X19" s="90">
        <v>2</v>
      </c>
      <c r="Y19" s="90">
        <v>3</v>
      </c>
      <c r="Z19" s="90">
        <v>1</v>
      </c>
      <c r="AA19" s="90">
        <v>1</v>
      </c>
      <c r="AB19" s="90">
        <v>2</v>
      </c>
      <c r="AC19" s="90">
        <v>1</v>
      </c>
    </row>
    <row r="20" spans="1:29" x14ac:dyDescent="0.3">
      <c r="A20" s="156"/>
      <c r="B20" s="157"/>
      <c r="C20" s="158"/>
      <c r="D20" s="160"/>
      <c r="E20" s="142"/>
      <c r="F20" s="142"/>
      <c r="G20" s="91">
        <v>28000</v>
      </c>
      <c r="H20" s="92">
        <v>6500</v>
      </c>
      <c r="I20" s="92">
        <v>6000</v>
      </c>
      <c r="J20" s="92">
        <v>10000</v>
      </c>
      <c r="K20" s="92">
        <v>4000</v>
      </c>
      <c r="L20" s="92">
        <v>4000</v>
      </c>
      <c r="M20" s="92">
        <v>5000</v>
      </c>
      <c r="N20" s="92">
        <v>7000</v>
      </c>
      <c r="O20" s="92">
        <v>11000</v>
      </c>
      <c r="P20" s="92">
        <v>10000</v>
      </c>
      <c r="Q20" s="92">
        <v>5500</v>
      </c>
      <c r="R20" s="92">
        <v>19500</v>
      </c>
      <c r="S20" s="92">
        <v>11500</v>
      </c>
      <c r="T20" s="92">
        <v>17000</v>
      </c>
      <c r="U20" s="92">
        <v>4000</v>
      </c>
      <c r="V20" s="92">
        <v>7000</v>
      </c>
      <c r="W20" s="92">
        <v>11000</v>
      </c>
      <c r="X20" s="92">
        <v>14000</v>
      </c>
      <c r="Y20" s="92">
        <v>18000</v>
      </c>
      <c r="Z20" s="92">
        <v>4000</v>
      </c>
      <c r="AA20" s="92">
        <v>4000</v>
      </c>
      <c r="AB20" s="92">
        <v>13000</v>
      </c>
      <c r="AC20" s="92">
        <v>4000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4BD7-D002-4096-87A9-6075DA68C0A9}">
  <dimension ref="A1:AP20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L7" sqref="L7"/>
    </sheetView>
  </sheetViews>
  <sheetFormatPr defaultRowHeight="16.5" x14ac:dyDescent="0.3"/>
  <sheetData>
    <row r="1" spans="1:42" ht="20.25" x14ac:dyDescent="0.3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1:42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42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  <c r="AA3" s="68">
        <v>21</v>
      </c>
      <c r="AB3" s="68">
        <v>22</v>
      </c>
      <c r="AC3" s="68">
        <v>23</v>
      </c>
      <c r="AD3" s="68">
        <v>24</v>
      </c>
      <c r="AE3" s="68">
        <v>25</v>
      </c>
      <c r="AF3" s="68">
        <v>26</v>
      </c>
      <c r="AG3" s="68">
        <v>27</v>
      </c>
      <c r="AH3" s="68">
        <v>28</v>
      </c>
      <c r="AI3" s="68">
        <v>29</v>
      </c>
      <c r="AJ3" s="116">
        <v>30</v>
      </c>
      <c r="AK3" s="68">
        <v>31</v>
      </c>
      <c r="AL3" s="68">
        <v>32</v>
      </c>
      <c r="AM3" s="68">
        <v>33</v>
      </c>
      <c r="AN3" s="68">
        <v>34</v>
      </c>
      <c r="AO3" s="68">
        <v>35</v>
      </c>
      <c r="AP3" s="68">
        <v>36</v>
      </c>
    </row>
    <row r="4" spans="1:42" x14ac:dyDescent="0.3">
      <c r="A4" s="144"/>
      <c r="B4" s="146"/>
      <c r="C4" s="148"/>
      <c r="D4" s="150"/>
      <c r="E4" s="152"/>
      <c r="F4" s="69" t="s">
        <v>41</v>
      </c>
      <c r="G4" s="70">
        <v>825</v>
      </c>
      <c r="H4" s="70">
        <v>826</v>
      </c>
      <c r="I4" s="70">
        <v>928</v>
      </c>
      <c r="J4" s="70">
        <v>1130</v>
      </c>
      <c r="K4" s="70">
        <v>926</v>
      </c>
      <c r="L4" s="70">
        <v>1202</v>
      </c>
      <c r="M4" s="70">
        <v>1619</v>
      </c>
      <c r="N4" s="70">
        <v>623</v>
      </c>
      <c r="O4" s="70">
        <v>1230</v>
      </c>
      <c r="P4" s="70">
        <v>1514</v>
      </c>
      <c r="Q4" s="70">
        <v>1220</v>
      </c>
      <c r="R4" s="70">
        <v>711</v>
      </c>
      <c r="S4" s="70">
        <v>514</v>
      </c>
      <c r="T4" s="70">
        <v>1627</v>
      </c>
      <c r="U4" s="70">
        <v>710</v>
      </c>
      <c r="V4" s="70">
        <v>1616</v>
      </c>
      <c r="W4" s="70">
        <v>1416</v>
      </c>
      <c r="X4" s="70">
        <v>707</v>
      </c>
      <c r="Y4" s="70">
        <v>609</v>
      </c>
      <c r="Z4" s="70">
        <v>606</v>
      </c>
      <c r="AA4" s="70">
        <v>1506</v>
      </c>
      <c r="AB4" s="70">
        <v>1203</v>
      </c>
      <c r="AC4" s="70">
        <v>1002</v>
      </c>
      <c r="AD4" s="70">
        <v>1403</v>
      </c>
      <c r="AE4" s="70">
        <v>915</v>
      </c>
      <c r="AF4" s="70">
        <v>818</v>
      </c>
      <c r="AG4" s="70">
        <v>817</v>
      </c>
      <c r="AH4" s="70">
        <v>1714</v>
      </c>
      <c r="AI4" s="70">
        <v>1226</v>
      </c>
      <c r="AJ4" s="117">
        <v>1005</v>
      </c>
      <c r="AK4" s="118">
        <v>1605</v>
      </c>
      <c r="AL4" s="118">
        <v>728</v>
      </c>
      <c r="AM4" s="118">
        <v>601</v>
      </c>
      <c r="AN4" s="118">
        <v>1605</v>
      </c>
      <c r="AO4" s="118">
        <v>1603</v>
      </c>
      <c r="AP4" s="118">
        <v>1618</v>
      </c>
    </row>
    <row r="5" spans="1:42" ht="39.75" x14ac:dyDescent="0.3">
      <c r="A5" s="71" t="s">
        <v>42</v>
      </c>
      <c r="B5" s="72" t="s">
        <v>79</v>
      </c>
      <c r="C5" s="73" t="s">
        <v>65</v>
      </c>
      <c r="D5" s="74">
        <v>6000</v>
      </c>
      <c r="E5" s="75">
        <v>18000</v>
      </c>
      <c r="F5" s="76">
        <v>3</v>
      </c>
      <c r="G5" s="77"/>
      <c r="H5" s="77"/>
      <c r="I5" s="77"/>
      <c r="J5" s="77">
        <v>1</v>
      </c>
      <c r="K5" s="77"/>
      <c r="L5" s="77"/>
      <c r="M5" s="77"/>
      <c r="N5" s="77"/>
      <c r="O5" s="77">
        <v>1</v>
      </c>
      <c r="P5" s="77">
        <v>1</v>
      </c>
      <c r="Q5" s="77"/>
      <c r="R5" s="77"/>
      <c r="S5" s="77"/>
      <c r="T5" s="77"/>
      <c r="U5" s="77">
        <v>1</v>
      </c>
      <c r="V5" s="77"/>
      <c r="W5" s="77">
        <v>1</v>
      </c>
      <c r="X5" s="77"/>
      <c r="Y5" s="77">
        <v>1</v>
      </c>
      <c r="Z5" s="77"/>
      <c r="AA5" s="77">
        <v>1</v>
      </c>
      <c r="AB5" s="77">
        <v>1</v>
      </c>
      <c r="AC5" s="77"/>
      <c r="AD5" s="77"/>
      <c r="AE5" s="77"/>
      <c r="AF5" s="77">
        <v>1</v>
      </c>
      <c r="AG5" s="77"/>
      <c r="AH5" s="77"/>
      <c r="AI5" s="77"/>
      <c r="AJ5" s="119"/>
      <c r="AK5" s="77"/>
      <c r="AL5" s="77"/>
      <c r="AM5" s="77"/>
      <c r="AN5" s="77"/>
      <c r="AO5" s="77">
        <v>1</v>
      </c>
      <c r="AP5" s="77"/>
    </row>
    <row r="6" spans="1:42" ht="39.75" x14ac:dyDescent="0.3">
      <c r="A6" s="78" t="s">
        <v>44</v>
      </c>
      <c r="B6" s="79" t="s">
        <v>66</v>
      </c>
      <c r="C6" s="80"/>
      <c r="D6" s="81">
        <v>6500</v>
      </c>
      <c r="E6" s="82">
        <v>26000</v>
      </c>
      <c r="F6" s="76">
        <v>4</v>
      </c>
      <c r="G6" s="83"/>
      <c r="H6" s="83"/>
      <c r="I6" s="83"/>
      <c r="J6" s="83">
        <v>1</v>
      </c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>
        <v>1</v>
      </c>
      <c r="X6" s="83"/>
      <c r="Y6" s="83">
        <v>1</v>
      </c>
      <c r="Z6" s="83"/>
      <c r="AA6" s="83">
        <v>1</v>
      </c>
      <c r="AB6" s="83"/>
      <c r="AC6" s="83"/>
      <c r="AD6" s="83"/>
      <c r="AE6" s="83"/>
      <c r="AF6" s="83">
        <v>1</v>
      </c>
      <c r="AG6" s="83"/>
      <c r="AH6" s="83"/>
      <c r="AI6" s="83"/>
      <c r="AJ6" s="120"/>
      <c r="AK6" s="83"/>
      <c r="AL6" s="83"/>
      <c r="AM6" s="83"/>
      <c r="AN6" s="83"/>
      <c r="AO6" s="83">
        <v>1</v>
      </c>
      <c r="AP6" s="83"/>
    </row>
    <row r="7" spans="1:42" ht="39.75" x14ac:dyDescent="0.3">
      <c r="A7" s="78" t="s">
        <v>46</v>
      </c>
      <c r="B7" s="79" t="s">
        <v>76</v>
      </c>
      <c r="C7" s="80"/>
      <c r="D7" s="81">
        <v>7000</v>
      </c>
      <c r="E7" s="82">
        <v>21000</v>
      </c>
      <c r="F7" s="76">
        <v>3</v>
      </c>
      <c r="G7" s="83"/>
      <c r="H7" s="83"/>
      <c r="I7" s="83"/>
      <c r="J7" s="83"/>
      <c r="K7" s="83"/>
      <c r="L7" s="83"/>
      <c r="M7" s="83"/>
      <c r="N7" s="83"/>
      <c r="O7" s="83">
        <v>1</v>
      </c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120"/>
      <c r="AK7" s="83"/>
      <c r="AL7" s="83"/>
      <c r="AM7" s="83"/>
      <c r="AN7" s="83"/>
      <c r="AO7" s="83">
        <v>1</v>
      </c>
      <c r="AP7" s="83"/>
    </row>
    <row r="8" spans="1:42" ht="26.25" x14ac:dyDescent="0.3">
      <c r="A8" s="78" t="s">
        <v>48</v>
      </c>
      <c r="B8" s="79" t="s">
        <v>69</v>
      </c>
      <c r="C8" s="80"/>
      <c r="D8" s="81">
        <v>5500</v>
      </c>
      <c r="E8" s="82">
        <v>27500</v>
      </c>
      <c r="F8" s="76">
        <v>5</v>
      </c>
      <c r="G8" s="83">
        <v>2</v>
      </c>
      <c r="H8" s="83">
        <v>1</v>
      </c>
      <c r="I8" s="83"/>
      <c r="J8" s="83"/>
      <c r="K8" s="83"/>
      <c r="L8" s="83">
        <v>1</v>
      </c>
      <c r="M8" s="83">
        <v>1</v>
      </c>
      <c r="N8" s="83">
        <v>1</v>
      </c>
      <c r="O8" s="83"/>
      <c r="P8" s="83">
        <v>2</v>
      </c>
      <c r="Q8" s="83">
        <v>1</v>
      </c>
      <c r="R8" s="83">
        <v>2</v>
      </c>
      <c r="S8" s="83">
        <v>2</v>
      </c>
      <c r="T8" s="83">
        <v>2</v>
      </c>
      <c r="U8" s="83"/>
      <c r="V8" s="83"/>
      <c r="W8" s="83"/>
      <c r="X8" s="83"/>
      <c r="Y8" s="83"/>
      <c r="Z8" s="83">
        <v>1</v>
      </c>
      <c r="AA8" s="83"/>
      <c r="AB8" s="83"/>
      <c r="AC8" s="83"/>
      <c r="AD8" s="83"/>
      <c r="AE8" s="83"/>
      <c r="AF8" s="83">
        <v>2</v>
      </c>
      <c r="AG8" s="83">
        <v>1</v>
      </c>
      <c r="AH8" s="83"/>
      <c r="AI8" s="83"/>
      <c r="AJ8" s="120"/>
      <c r="AK8" s="83"/>
      <c r="AL8" s="83"/>
      <c r="AM8" s="83"/>
      <c r="AN8" s="83">
        <v>1</v>
      </c>
      <c r="AO8" s="83"/>
      <c r="AP8" s="83">
        <v>2</v>
      </c>
    </row>
    <row r="9" spans="1:42" ht="26.25" x14ac:dyDescent="0.3">
      <c r="A9" s="78" t="s">
        <v>50</v>
      </c>
      <c r="B9" s="79" t="s">
        <v>70</v>
      </c>
      <c r="C9" s="80"/>
      <c r="D9" s="81">
        <v>4000</v>
      </c>
      <c r="E9" s="82">
        <v>4000</v>
      </c>
      <c r="F9" s="76">
        <v>1</v>
      </c>
      <c r="G9" s="83"/>
      <c r="H9" s="83"/>
      <c r="I9" s="83"/>
      <c r="J9" s="83"/>
      <c r="K9" s="83">
        <v>1</v>
      </c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120"/>
      <c r="AK9" s="83"/>
      <c r="AL9" s="83"/>
      <c r="AM9" s="83"/>
      <c r="AN9" s="83"/>
      <c r="AO9" s="83"/>
      <c r="AP9" s="83">
        <v>1</v>
      </c>
    </row>
    <row r="10" spans="1:42" ht="27" x14ac:dyDescent="0.3">
      <c r="A10" s="78" t="s">
        <v>52</v>
      </c>
      <c r="B10" s="79" t="s">
        <v>71</v>
      </c>
      <c r="C10" s="80"/>
      <c r="D10" s="81">
        <v>4000</v>
      </c>
      <c r="E10" s="82">
        <v>12000</v>
      </c>
      <c r="F10" s="76">
        <v>3</v>
      </c>
      <c r="G10" s="83"/>
      <c r="H10" s="83"/>
      <c r="I10" s="83">
        <v>1</v>
      </c>
      <c r="J10" s="83"/>
      <c r="K10" s="83"/>
      <c r="L10" s="83"/>
      <c r="M10" s="83"/>
      <c r="N10" s="83"/>
      <c r="O10" s="83"/>
      <c r="P10" s="83">
        <v>1</v>
      </c>
      <c r="Q10" s="83"/>
      <c r="R10" s="83"/>
      <c r="S10" s="83"/>
      <c r="T10" s="83"/>
      <c r="U10" s="83">
        <v>1</v>
      </c>
      <c r="V10" s="83"/>
      <c r="W10" s="83">
        <v>1</v>
      </c>
      <c r="X10" s="83"/>
      <c r="Y10" s="83">
        <v>1</v>
      </c>
      <c r="Z10" s="83"/>
      <c r="AA10" s="83">
        <v>1</v>
      </c>
      <c r="AB10" s="83"/>
      <c r="AC10" s="83"/>
      <c r="AD10" s="83"/>
      <c r="AE10" s="83"/>
      <c r="AF10" s="83"/>
      <c r="AG10" s="83"/>
      <c r="AH10" s="83"/>
      <c r="AI10" s="83"/>
      <c r="AJ10" s="120">
        <v>1</v>
      </c>
      <c r="AK10" s="83">
        <v>1</v>
      </c>
      <c r="AL10" s="83"/>
      <c r="AM10" s="83">
        <v>1</v>
      </c>
      <c r="AN10" s="83"/>
      <c r="AO10" s="83"/>
      <c r="AP10" s="83"/>
    </row>
    <row r="11" spans="1:42" ht="39" x14ac:dyDescent="0.3">
      <c r="A11" s="78" t="s">
        <v>54</v>
      </c>
      <c r="B11" s="79" t="s">
        <v>72</v>
      </c>
      <c r="C11" s="80"/>
      <c r="D11" s="81">
        <v>4000</v>
      </c>
      <c r="E11" s="82">
        <v>4000</v>
      </c>
      <c r="F11" s="76">
        <v>1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>
        <v>1</v>
      </c>
      <c r="Y11" s="83"/>
      <c r="Z11" s="83"/>
      <c r="AA11" s="83"/>
      <c r="AB11" s="83"/>
      <c r="AC11" s="83"/>
      <c r="AD11" s="83">
        <v>1</v>
      </c>
      <c r="AE11" s="83"/>
      <c r="AF11" s="83"/>
      <c r="AG11" s="83"/>
      <c r="AH11" s="83"/>
      <c r="AI11" s="83"/>
      <c r="AJ11" s="120"/>
      <c r="AK11" s="83"/>
      <c r="AL11" s="83">
        <v>1</v>
      </c>
      <c r="AM11" s="83"/>
      <c r="AN11" s="83"/>
      <c r="AO11" s="83"/>
      <c r="AP11" s="83">
        <v>1</v>
      </c>
    </row>
    <row r="12" spans="1:42" ht="26.25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>
        <v>1</v>
      </c>
      <c r="AJ12" s="121"/>
      <c r="AK12" s="83"/>
      <c r="AL12" s="83"/>
      <c r="AM12" s="83"/>
      <c r="AN12" s="83"/>
      <c r="AO12" s="83"/>
      <c r="AP12" s="83"/>
    </row>
    <row r="13" spans="1:42" ht="39" x14ac:dyDescent="0.3">
      <c r="A13" s="78" t="s">
        <v>57</v>
      </c>
      <c r="B13" s="79" t="s">
        <v>65</v>
      </c>
      <c r="C13" s="80"/>
      <c r="D13" s="81">
        <v>7000</v>
      </c>
      <c r="E13" s="82">
        <v>0</v>
      </c>
      <c r="F13" s="76">
        <v>0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>
        <v>1</v>
      </c>
      <c r="AE13" s="83">
        <v>1</v>
      </c>
      <c r="AF13" s="83"/>
      <c r="AG13" s="83"/>
      <c r="AH13" s="83"/>
      <c r="AI13" s="83"/>
      <c r="AJ13" s="120"/>
      <c r="AK13" s="83"/>
      <c r="AL13" s="83"/>
      <c r="AM13" s="83"/>
      <c r="AN13" s="83"/>
      <c r="AO13" s="83"/>
      <c r="AP13" s="83"/>
    </row>
    <row r="14" spans="1:42" ht="26.25" x14ac:dyDescent="0.3">
      <c r="A14" s="78" t="s">
        <v>58</v>
      </c>
      <c r="B14" s="79" t="s">
        <v>77</v>
      </c>
      <c r="C14" s="80"/>
      <c r="D14" s="81">
        <v>7000</v>
      </c>
      <c r="E14" s="82">
        <v>14000</v>
      </c>
      <c r="F14" s="76">
        <v>2</v>
      </c>
      <c r="G14" s="83"/>
      <c r="H14" s="83"/>
      <c r="I14" s="83">
        <v>1</v>
      </c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>
        <v>1</v>
      </c>
      <c r="W14" s="83"/>
      <c r="X14" s="83"/>
      <c r="Y14" s="83"/>
      <c r="Z14" s="83"/>
      <c r="AA14" s="83"/>
      <c r="AB14" s="83"/>
      <c r="AC14" s="83">
        <v>1</v>
      </c>
      <c r="AD14" s="83">
        <v>1</v>
      </c>
      <c r="AE14" s="83">
        <v>1</v>
      </c>
      <c r="AF14" s="83"/>
      <c r="AG14" s="83"/>
      <c r="AH14" s="83">
        <v>1</v>
      </c>
      <c r="AI14" s="83"/>
      <c r="AJ14" s="120"/>
      <c r="AK14" s="83"/>
      <c r="AL14" s="83"/>
      <c r="AM14" s="83"/>
      <c r="AN14" s="83"/>
      <c r="AO14" s="83"/>
      <c r="AP14" s="83">
        <v>1</v>
      </c>
    </row>
    <row r="15" spans="1:42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120"/>
      <c r="AK15" s="83"/>
      <c r="AL15" s="83"/>
      <c r="AM15" s="83"/>
      <c r="AN15" s="83"/>
      <c r="AO15" s="83"/>
      <c r="AP15" s="83"/>
    </row>
    <row r="16" spans="1:42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120"/>
      <c r="AK16" s="83"/>
      <c r="AL16" s="83"/>
      <c r="AM16" s="83"/>
      <c r="AN16" s="83"/>
      <c r="AO16" s="83"/>
      <c r="AP16" s="83"/>
    </row>
    <row r="17" spans="1:42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121"/>
      <c r="AK17" s="83"/>
      <c r="AL17" s="83"/>
      <c r="AM17" s="83"/>
      <c r="AN17" s="83"/>
      <c r="AO17" s="83"/>
      <c r="AP17" s="83"/>
    </row>
    <row r="18" spans="1:42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120"/>
      <c r="AK18" s="84"/>
      <c r="AL18" s="84"/>
      <c r="AM18" s="84"/>
      <c r="AN18" s="84"/>
      <c r="AO18" s="84"/>
      <c r="AP18" s="84"/>
    </row>
    <row r="19" spans="1:42" x14ac:dyDescent="0.3">
      <c r="A19" s="153" t="s">
        <v>64</v>
      </c>
      <c r="B19" s="154"/>
      <c r="C19" s="155"/>
      <c r="D19" s="159">
        <v>61500</v>
      </c>
      <c r="E19" s="141">
        <v>126500</v>
      </c>
      <c r="F19" s="141">
        <v>22</v>
      </c>
      <c r="G19" s="90">
        <v>2</v>
      </c>
      <c r="H19" s="90">
        <v>1</v>
      </c>
      <c r="I19" s="90">
        <v>2</v>
      </c>
      <c r="J19" s="90">
        <v>2</v>
      </c>
      <c r="K19" s="90">
        <v>1</v>
      </c>
      <c r="L19" s="90">
        <v>1</v>
      </c>
      <c r="M19" s="90">
        <v>1</v>
      </c>
      <c r="N19" s="90">
        <v>1</v>
      </c>
      <c r="O19" s="90">
        <v>2</v>
      </c>
      <c r="P19" s="90">
        <v>4</v>
      </c>
      <c r="Q19" s="90">
        <v>1</v>
      </c>
      <c r="R19" s="90">
        <v>2</v>
      </c>
      <c r="S19" s="90">
        <v>2</v>
      </c>
      <c r="T19" s="90">
        <v>2</v>
      </c>
      <c r="U19" s="90">
        <v>2</v>
      </c>
      <c r="V19" s="90">
        <v>1</v>
      </c>
      <c r="W19" s="90">
        <v>3</v>
      </c>
      <c r="X19" s="90">
        <v>1</v>
      </c>
      <c r="Y19" s="90">
        <v>3</v>
      </c>
      <c r="Z19" s="90">
        <v>1</v>
      </c>
      <c r="AA19" s="90">
        <v>3</v>
      </c>
      <c r="AB19" s="90">
        <v>1</v>
      </c>
      <c r="AC19" s="90">
        <v>1</v>
      </c>
      <c r="AD19" s="90">
        <v>3</v>
      </c>
      <c r="AE19" s="90">
        <v>2</v>
      </c>
      <c r="AF19" s="90">
        <v>4</v>
      </c>
      <c r="AG19" s="90">
        <v>1</v>
      </c>
      <c r="AH19" s="90">
        <v>1</v>
      </c>
      <c r="AI19" s="90">
        <v>1</v>
      </c>
      <c r="AJ19" s="122">
        <v>1</v>
      </c>
      <c r="AK19" s="123">
        <v>1</v>
      </c>
      <c r="AL19" s="123">
        <v>1</v>
      </c>
      <c r="AM19" s="123">
        <v>1</v>
      </c>
      <c r="AN19" s="123">
        <v>1</v>
      </c>
      <c r="AO19" s="123">
        <v>3</v>
      </c>
      <c r="AP19" s="123">
        <v>5</v>
      </c>
    </row>
    <row r="20" spans="1:42" x14ac:dyDescent="0.3">
      <c r="A20" s="156"/>
      <c r="B20" s="157"/>
      <c r="C20" s="158"/>
      <c r="D20" s="160"/>
      <c r="E20" s="142"/>
      <c r="F20" s="142"/>
      <c r="G20" s="91">
        <v>11000</v>
      </c>
      <c r="H20" s="92">
        <v>5500</v>
      </c>
      <c r="I20" s="92">
        <v>11000</v>
      </c>
      <c r="J20" s="92">
        <v>12500</v>
      </c>
      <c r="K20" s="92">
        <v>4000</v>
      </c>
      <c r="L20" s="92">
        <v>5500</v>
      </c>
      <c r="M20" s="92">
        <v>5500</v>
      </c>
      <c r="N20" s="92">
        <v>5500</v>
      </c>
      <c r="O20" s="92">
        <v>13000</v>
      </c>
      <c r="P20" s="92">
        <v>21000</v>
      </c>
      <c r="Q20" s="92">
        <v>5500</v>
      </c>
      <c r="R20" s="92">
        <v>11000</v>
      </c>
      <c r="S20" s="92">
        <v>11000</v>
      </c>
      <c r="T20" s="92">
        <v>11000</v>
      </c>
      <c r="U20" s="92">
        <v>10000</v>
      </c>
      <c r="V20" s="92">
        <v>7000</v>
      </c>
      <c r="W20" s="92">
        <v>16500</v>
      </c>
      <c r="X20" s="92">
        <v>4000</v>
      </c>
      <c r="Y20" s="92">
        <v>16500</v>
      </c>
      <c r="Z20" s="92">
        <v>5500</v>
      </c>
      <c r="AA20" s="92">
        <v>16500</v>
      </c>
      <c r="AB20" s="92">
        <v>6000</v>
      </c>
      <c r="AC20" s="92">
        <v>7000</v>
      </c>
      <c r="AD20" s="92">
        <v>18000</v>
      </c>
      <c r="AE20" s="92">
        <v>14000</v>
      </c>
      <c r="AF20" s="92">
        <v>23500</v>
      </c>
      <c r="AG20" s="92">
        <v>5500</v>
      </c>
      <c r="AH20" s="92">
        <v>7000</v>
      </c>
      <c r="AI20" s="92">
        <v>5000</v>
      </c>
      <c r="AJ20" s="124">
        <v>4000</v>
      </c>
      <c r="AK20" s="92">
        <v>4000</v>
      </c>
      <c r="AL20" s="92">
        <v>4000</v>
      </c>
      <c r="AM20" s="92">
        <v>4000</v>
      </c>
      <c r="AN20" s="92">
        <v>5500</v>
      </c>
      <c r="AO20" s="92">
        <v>19500</v>
      </c>
      <c r="AP20" s="92">
        <v>26000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367C-1627-4206-AEB8-940C2D6D0831}">
  <dimension ref="A1:X19"/>
  <sheetViews>
    <sheetView workbookViewId="0">
      <selection activeCell="S5" sqref="S5"/>
    </sheetView>
  </sheetViews>
  <sheetFormatPr defaultRowHeight="16.5" x14ac:dyDescent="0.3"/>
  <sheetData>
    <row r="1" spans="1:24" x14ac:dyDescent="0.2">
      <c r="A1" s="64"/>
      <c r="B1" s="64"/>
      <c r="C1" s="64"/>
      <c r="D1" s="64"/>
      <c r="E1" s="64"/>
      <c r="F1" s="65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</row>
    <row r="2" spans="1:24" ht="13.5" customHeight="1" x14ac:dyDescent="0.3">
      <c r="A2" s="143" t="s">
        <v>35</v>
      </c>
      <c r="B2" s="145" t="s">
        <v>36</v>
      </c>
      <c r="C2" s="147" t="s">
        <v>37</v>
      </c>
      <c r="D2" s="149" t="s">
        <v>38</v>
      </c>
      <c r="E2" s="151" t="s">
        <v>39</v>
      </c>
      <c r="F2" s="66" t="s">
        <v>40</v>
      </c>
      <c r="G2" s="67">
        <v>1</v>
      </c>
      <c r="H2" s="68">
        <v>2</v>
      </c>
      <c r="I2" s="68">
        <v>3</v>
      </c>
      <c r="J2" s="68">
        <v>4</v>
      </c>
      <c r="K2" s="68">
        <v>5</v>
      </c>
      <c r="L2" s="68">
        <v>6</v>
      </c>
      <c r="M2" s="68">
        <v>7</v>
      </c>
      <c r="N2" s="68">
        <v>8</v>
      </c>
      <c r="O2" s="68">
        <v>9</v>
      </c>
      <c r="P2" s="68">
        <v>10</v>
      </c>
      <c r="Q2" s="68">
        <v>11</v>
      </c>
      <c r="R2" s="68">
        <v>12</v>
      </c>
      <c r="S2" s="68">
        <v>13</v>
      </c>
      <c r="T2" s="68">
        <v>14</v>
      </c>
      <c r="U2" s="68">
        <v>15</v>
      </c>
      <c r="V2" s="68">
        <v>16</v>
      </c>
      <c r="W2" s="68">
        <v>17</v>
      </c>
      <c r="X2" s="67">
        <v>18</v>
      </c>
    </row>
    <row r="3" spans="1:24" ht="13.5" customHeight="1" x14ac:dyDescent="0.3">
      <c r="A3" s="144"/>
      <c r="B3" s="146"/>
      <c r="C3" s="148"/>
      <c r="D3" s="150"/>
      <c r="E3" s="152"/>
      <c r="F3" s="69" t="s">
        <v>41</v>
      </c>
      <c r="G3" s="70">
        <v>1005</v>
      </c>
      <c r="H3" s="70">
        <v>1606</v>
      </c>
      <c r="I3" s="70">
        <v>1605</v>
      </c>
      <c r="J3" s="70">
        <v>914</v>
      </c>
      <c r="K3" s="70">
        <v>1624</v>
      </c>
      <c r="L3" s="70">
        <v>1603</v>
      </c>
      <c r="M3" s="70">
        <v>1809</v>
      </c>
      <c r="N3" s="70">
        <v>608</v>
      </c>
      <c r="O3" s="70">
        <v>1129</v>
      </c>
      <c r="P3" s="70">
        <v>1501</v>
      </c>
      <c r="Q3" s="70">
        <v>1628</v>
      </c>
      <c r="R3" s="70">
        <v>826</v>
      </c>
      <c r="S3" s="70">
        <v>1220</v>
      </c>
      <c r="T3" s="70">
        <v>1506</v>
      </c>
      <c r="U3" s="70">
        <v>1527</v>
      </c>
      <c r="V3" s="70">
        <v>1022</v>
      </c>
      <c r="W3" s="70">
        <v>1027</v>
      </c>
      <c r="X3" s="70">
        <v>1002</v>
      </c>
    </row>
    <row r="4" spans="1:24" ht="13.5" customHeight="1" x14ac:dyDescent="0.3">
      <c r="A4" s="71" t="s">
        <v>42</v>
      </c>
      <c r="B4" s="72" t="s">
        <v>79</v>
      </c>
      <c r="C4" s="73" t="s">
        <v>65</v>
      </c>
      <c r="D4" s="74">
        <v>6000</v>
      </c>
      <c r="E4" s="75">
        <v>48000</v>
      </c>
      <c r="F4" s="76">
        <v>8</v>
      </c>
      <c r="G4" s="77"/>
      <c r="H4" s="77"/>
      <c r="I4" s="106">
        <v>1</v>
      </c>
      <c r="J4" s="77"/>
      <c r="K4" s="106">
        <v>1</v>
      </c>
      <c r="L4" s="77"/>
      <c r="M4" s="77"/>
      <c r="N4" s="77"/>
      <c r="O4" s="77"/>
      <c r="P4" s="125">
        <v>1</v>
      </c>
      <c r="Q4" s="77"/>
      <c r="R4" s="77"/>
      <c r="S4" s="128">
        <v>1</v>
      </c>
      <c r="T4" s="106">
        <v>1</v>
      </c>
      <c r="U4" s="77"/>
      <c r="V4" s="105">
        <v>1</v>
      </c>
      <c r="W4" s="77"/>
      <c r="X4" s="105">
        <v>1</v>
      </c>
    </row>
    <row r="5" spans="1:24" ht="13.5" customHeight="1" x14ac:dyDescent="0.3">
      <c r="A5" s="78" t="s">
        <v>44</v>
      </c>
      <c r="B5" s="79" t="s">
        <v>66</v>
      </c>
      <c r="C5" s="80"/>
      <c r="D5" s="81">
        <v>6500</v>
      </c>
      <c r="E5" s="82">
        <v>26000</v>
      </c>
      <c r="F5" s="76">
        <v>4</v>
      </c>
      <c r="G5" s="83"/>
      <c r="H5" s="83"/>
      <c r="I5" s="83"/>
      <c r="J5" s="104">
        <v>1</v>
      </c>
      <c r="K5" s="83"/>
      <c r="L5" s="83"/>
      <c r="M5" s="104">
        <v>1</v>
      </c>
      <c r="N5" s="104">
        <v>1</v>
      </c>
      <c r="O5" s="83"/>
      <c r="P5" s="83"/>
      <c r="Q5" s="83"/>
      <c r="R5" s="83"/>
      <c r="S5" s="83"/>
      <c r="T5" s="83"/>
      <c r="U5" s="83"/>
      <c r="V5" s="83"/>
      <c r="W5" s="83"/>
      <c r="X5" s="103">
        <v>1</v>
      </c>
    </row>
    <row r="6" spans="1:24" ht="13.5" customHeight="1" x14ac:dyDescent="0.3">
      <c r="A6" s="78" t="s">
        <v>46</v>
      </c>
      <c r="B6" s="79" t="s">
        <v>76</v>
      </c>
      <c r="C6" s="80"/>
      <c r="D6" s="81">
        <v>7000</v>
      </c>
      <c r="E6" s="82">
        <v>0</v>
      </c>
      <c r="F6" s="76">
        <v>0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</row>
    <row r="7" spans="1:24" ht="13.5" customHeight="1" x14ac:dyDescent="0.3">
      <c r="A7" s="78" t="s">
        <v>48</v>
      </c>
      <c r="B7" s="79" t="s">
        <v>69</v>
      </c>
      <c r="C7" s="80"/>
      <c r="D7" s="81">
        <v>5500</v>
      </c>
      <c r="E7" s="82">
        <v>88000</v>
      </c>
      <c r="F7" s="76">
        <v>16</v>
      </c>
      <c r="G7" s="83"/>
      <c r="H7" s="104">
        <v>1</v>
      </c>
      <c r="I7" s="104">
        <v>2</v>
      </c>
      <c r="J7" s="83"/>
      <c r="K7" s="104">
        <v>1</v>
      </c>
      <c r="L7" s="104">
        <v>1</v>
      </c>
      <c r="M7" s="83"/>
      <c r="N7" s="104">
        <v>1</v>
      </c>
      <c r="O7" s="104">
        <v>1</v>
      </c>
      <c r="P7" s="83"/>
      <c r="Q7" s="103">
        <v>2</v>
      </c>
      <c r="R7" s="83"/>
      <c r="S7" s="83"/>
      <c r="T7" s="83"/>
      <c r="U7" s="103">
        <v>1</v>
      </c>
      <c r="V7" s="103">
        <v>1</v>
      </c>
      <c r="W7" s="103">
        <v>2</v>
      </c>
      <c r="X7" s="103">
        <v>2</v>
      </c>
    </row>
    <row r="8" spans="1:24" ht="13.5" customHeight="1" x14ac:dyDescent="0.3">
      <c r="A8" s="78" t="s">
        <v>50</v>
      </c>
      <c r="B8" s="79" t="s">
        <v>70</v>
      </c>
      <c r="C8" s="80"/>
      <c r="D8" s="81">
        <v>4000</v>
      </c>
      <c r="E8" s="82">
        <v>8000</v>
      </c>
      <c r="F8" s="76">
        <v>2</v>
      </c>
      <c r="G8" s="83"/>
      <c r="H8" s="104">
        <v>1</v>
      </c>
      <c r="I8" s="83"/>
      <c r="J8" s="83"/>
      <c r="K8" s="83"/>
      <c r="L8" s="83"/>
      <c r="M8" s="83"/>
      <c r="N8" s="83"/>
      <c r="O8" s="83"/>
      <c r="P8" s="83"/>
      <c r="Q8" s="83"/>
      <c r="R8" s="103">
        <v>1</v>
      </c>
      <c r="S8" s="83"/>
      <c r="T8" s="83"/>
      <c r="U8" s="83"/>
      <c r="V8" s="83"/>
      <c r="W8" s="83"/>
      <c r="X8" s="83"/>
    </row>
    <row r="9" spans="1:24" ht="13.5" customHeight="1" x14ac:dyDescent="0.3">
      <c r="A9" s="78" t="s">
        <v>52</v>
      </c>
      <c r="B9" s="79" t="s">
        <v>71</v>
      </c>
      <c r="C9" s="80"/>
      <c r="D9" s="81">
        <v>4000</v>
      </c>
      <c r="E9" s="82">
        <v>4000</v>
      </c>
      <c r="F9" s="76">
        <v>1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104">
        <v>1</v>
      </c>
      <c r="U9" s="83"/>
      <c r="V9" s="83"/>
      <c r="W9" s="83"/>
      <c r="X9" s="83"/>
    </row>
    <row r="10" spans="1:24" ht="13.5" customHeight="1" x14ac:dyDescent="0.3">
      <c r="A10" s="78" t="s">
        <v>54</v>
      </c>
      <c r="B10" s="79" t="s">
        <v>72</v>
      </c>
      <c r="C10" s="80"/>
      <c r="D10" s="81">
        <v>4000</v>
      </c>
      <c r="E10" s="82">
        <v>0</v>
      </c>
      <c r="F10" s="76">
        <v>0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</row>
    <row r="11" spans="1:24" ht="13.5" customHeight="1" x14ac:dyDescent="0.3">
      <c r="A11" s="78" t="s">
        <v>56</v>
      </c>
      <c r="B11" s="79" t="s">
        <v>71</v>
      </c>
      <c r="C11" s="80"/>
      <c r="D11" s="81">
        <v>5000</v>
      </c>
      <c r="E11" s="82">
        <v>10000</v>
      </c>
      <c r="F11" s="76">
        <v>2</v>
      </c>
      <c r="G11" s="110">
        <v>1</v>
      </c>
      <c r="H11" s="84"/>
      <c r="I11" s="84"/>
      <c r="J11" s="84"/>
      <c r="K11" s="108"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</row>
    <row r="12" spans="1:24" ht="13.5" customHeight="1" x14ac:dyDescent="0.3">
      <c r="A12" s="78" t="s">
        <v>57</v>
      </c>
      <c r="B12" s="79" t="s">
        <v>65</v>
      </c>
      <c r="C12" s="80"/>
      <c r="D12" s="81">
        <v>7000</v>
      </c>
      <c r="E12" s="82">
        <v>7000</v>
      </c>
      <c r="F12" s="76">
        <v>1</v>
      </c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103">
        <v>1</v>
      </c>
      <c r="W12" s="83"/>
      <c r="X12" s="83"/>
    </row>
    <row r="13" spans="1:24" ht="13.5" customHeight="1" x14ac:dyDescent="0.3">
      <c r="A13" s="78" t="s">
        <v>58</v>
      </c>
      <c r="B13" s="79" t="s">
        <v>77</v>
      </c>
      <c r="C13" s="80"/>
      <c r="D13" s="81">
        <v>7000</v>
      </c>
      <c r="E13" s="82">
        <v>7000</v>
      </c>
      <c r="F13" s="76">
        <v>1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103">
        <v>1</v>
      </c>
      <c r="W13" s="83"/>
      <c r="X13" s="83"/>
    </row>
    <row r="14" spans="1:24" ht="13.5" customHeight="1" x14ac:dyDescent="0.3">
      <c r="A14" s="78" t="s">
        <v>60</v>
      </c>
      <c r="B14" s="79"/>
      <c r="C14" s="80"/>
      <c r="D14" s="81">
        <v>7000</v>
      </c>
      <c r="E14" s="82">
        <v>0</v>
      </c>
      <c r="F14" s="76">
        <v>0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</row>
    <row r="15" spans="1:24" ht="13.5" customHeight="1" x14ac:dyDescent="0.3">
      <c r="A15" s="78" t="s">
        <v>61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</row>
    <row r="16" spans="1:24" ht="13.5" customHeight="1" x14ac:dyDescent="0.3">
      <c r="A16" s="78" t="s">
        <v>62</v>
      </c>
      <c r="B16" s="79"/>
      <c r="C16" s="80"/>
      <c r="D16" s="81">
        <v>7000</v>
      </c>
      <c r="E16" s="82">
        <v>0</v>
      </c>
      <c r="F16" s="76">
        <v>0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</row>
    <row r="17" spans="1:24" ht="13.5" customHeight="1" x14ac:dyDescent="0.3">
      <c r="A17" s="85" t="s">
        <v>63</v>
      </c>
      <c r="B17" s="86"/>
      <c r="C17" s="87"/>
      <c r="D17" s="88">
        <v>7000</v>
      </c>
      <c r="E17" s="89">
        <v>0</v>
      </c>
      <c r="F17" s="76">
        <v>0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</row>
    <row r="18" spans="1:24" ht="13.5" customHeight="1" x14ac:dyDescent="0.3">
      <c r="A18" s="153" t="s">
        <v>64</v>
      </c>
      <c r="B18" s="154"/>
      <c r="C18" s="155"/>
      <c r="D18" s="159">
        <v>61500</v>
      </c>
      <c r="E18" s="141">
        <v>198000</v>
      </c>
      <c r="F18" s="141">
        <v>35</v>
      </c>
      <c r="G18" s="90">
        <v>1</v>
      </c>
      <c r="H18" s="90">
        <v>2</v>
      </c>
      <c r="I18" s="90">
        <v>3</v>
      </c>
      <c r="J18" s="90">
        <v>1</v>
      </c>
      <c r="K18" s="90">
        <v>3</v>
      </c>
      <c r="L18" s="90">
        <v>1</v>
      </c>
      <c r="M18" s="90">
        <v>1</v>
      </c>
      <c r="N18" s="90">
        <v>2</v>
      </c>
      <c r="O18" s="90">
        <v>1</v>
      </c>
      <c r="P18" s="90">
        <v>1</v>
      </c>
      <c r="Q18" s="90">
        <v>2</v>
      </c>
      <c r="R18" s="90">
        <v>1</v>
      </c>
      <c r="S18" s="90">
        <v>1</v>
      </c>
      <c r="T18" s="90">
        <v>2</v>
      </c>
      <c r="U18" s="90">
        <v>1</v>
      </c>
      <c r="V18" s="90">
        <v>4</v>
      </c>
      <c r="W18" s="90">
        <v>2</v>
      </c>
      <c r="X18" s="90">
        <v>4</v>
      </c>
    </row>
    <row r="19" spans="1:24" ht="13.5" customHeight="1" x14ac:dyDescent="0.3">
      <c r="A19" s="156"/>
      <c r="B19" s="157"/>
      <c r="C19" s="158"/>
      <c r="D19" s="160"/>
      <c r="E19" s="142"/>
      <c r="F19" s="142"/>
      <c r="G19" s="91">
        <v>5000</v>
      </c>
      <c r="H19" s="92">
        <v>9500</v>
      </c>
      <c r="I19" s="92">
        <v>17000</v>
      </c>
      <c r="J19" s="92">
        <v>6500</v>
      </c>
      <c r="K19" s="92">
        <v>16500</v>
      </c>
      <c r="L19" s="92">
        <v>5500</v>
      </c>
      <c r="M19" s="92">
        <v>6500</v>
      </c>
      <c r="N19" s="92">
        <v>12000</v>
      </c>
      <c r="O19" s="92">
        <v>5500</v>
      </c>
      <c r="P19" s="92">
        <v>6000</v>
      </c>
      <c r="Q19" s="92">
        <v>11000</v>
      </c>
      <c r="R19" s="92">
        <v>4000</v>
      </c>
      <c r="S19" s="92">
        <v>6000</v>
      </c>
      <c r="T19" s="92">
        <v>10000</v>
      </c>
      <c r="U19" s="92">
        <v>5500</v>
      </c>
      <c r="V19" s="92">
        <v>25500</v>
      </c>
      <c r="W19" s="92">
        <v>11000</v>
      </c>
      <c r="X19" s="92">
        <v>23500</v>
      </c>
    </row>
  </sheetData>
  <mergeCells count="9">
    <mergeCell ref="F18:F19"/>
    <mergeCell ref="A2:A3"/>
    <mergeCell ref="B2:B3"/>
    <mergeCell ref="C2:C3"/>
    <mergeCell ref="D2:D3"/>
    <mergeCell ref="E2:E3"/>
    <mergeCell ref="A18:C19"/>
    <mergeCell ref="D18:D19"/>
    <mergeCell ref="E18:E19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304F-DE41-4001-9DAC-442AA750629F}">
  <dimension ref="A1:AR20"/>
  <sheetViews>
    <sheetView topLeftCell="A10" workbookViewId="0">
      <selection activeCell="AR7" sqref="AR7"/>
    </sheetView>
  </sheetViews>
  <sheetFormatPr defaultRowHeight="16.5" x14ac:dyDescent="0.3"/>
  <sheetData>
    <row r="1" spans="1:44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</row>
    <row r="2" spans="1:44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</row>
    <row r="3" spans="1:44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  <c r="AA3" s="68">
        <v>21</v>
      </c>
      <c r="AB3" s="68">
        <v>22</v>
      </c>
      <c r="AC3" s="68">
        <v>23</v>
      </c>
      <c r="AD3" s="68">
        <v>24</v>
      </c>
      <c r="AE3" s="68">
        <v>25</v>
      </c>
      <c r="AF3" s="68">
        <v>26</v>
      </c>
      <c r="AG3" s="68">
        <v>27</v>
      </c>
      <c r="AH3" s="68">
        <v>28</v>
      </c>
      <c r="AI3" s="68">
        <v>29</v>
      </c>
      <c r="AJ3" s="116">
        <v>30</v>
      </c>
      <c r="AK3" s="68">
        <v>31</v>
      </c>
      <c r="AL3" s="68">
        <v>32</v>
      </c>
      <c r="AM3" s="68">
        <v>33</v>
      </c>
      <c r="AN3" s="68">
        <v>34</v>
      </c>
      <c r="AO3" s="68">
        <v>35</v>
      </c>
      <c r="AP3" s="68">
        <v>36</v>
      </c>
      <c r="AQ3" s="68">
        <v>37</v>
      </c>
      <c r="AR3" s="68">
        <v>38</v>
      </c>
    </row>
    <row r="4" spans="1:44" x14ac:dyDescent="0.3">
      <c r="A4" s="144"/>
      <c r="B4" s="146"/>
      <c r="C4" s="148"/>
      <c r="D4" s="150"/>
      <c r="E4" s="152"/>
      <c r="F4" s="69" t="s">
        <v>41</v>
      </c>
      <c r="G4" s="70">
        <v>512</v>
      </c>
      <c r="H4" s="70">
        <v>1619</v>
      </c>
      <c r="I4" s="70">
        <v>1220</v>
      </c>
      <c r="J4" s="70">
        <v>629</v>
      </c>
      <c r="K4" s="70">
        <v>1425</v>
      </c>
      <c r="L4" s="70">
        <v>1130</v>
      </c>
      <c r="M4" s="70">
        <v>711</v>
      </c>
      <c r="N4" s="70">
        <v>1421</v>
      </c>
      <c r="O4" s="70">
        <v>1121</v>
      </c>
      <c r="P4" s="70">
        <v>628</v>
      </c>
      <c r="Q4" s="70">
        <v>1514</v>
      </c>
      <c r="R4" s="70">
        <v>1428</v>
      </c>
      <c r="S4" s="70">
        <v>609</v>
      </c>
      <c r="T4" s="70">
        <v>620</v>
      </c>
      <c r="U4" s="70">
        <v>503</v>
      </c>
      <c r="V4" s="70">
        <v>611</v>
      </c>
      <c r="W4" s="70">
        <v>1602</v>
      </c>
      <c r="X4" s="70">
        <v>1618</v>
      </c>
      <c r="Y4" s="70">
        <v>930</v>
      </c>
      <c r="Z4" s="70">
        <v>1805</v>
      </c>
      <c r="AA4" s="70">
        <v>831</v>
      </c>
      <c r="AB4" s="70">
        <v>1420</v>
      </c>
      <c r="AC4" s="70">
        <v>1806</v>
      </c>
      <c r="AD4" s="70">
        <v>1405</v>
      </c>
      <c r="AE4" s="70">
        <v>1419</v>
      </c>
      <c r="AF4" s="70">
        <v>603</v>
      </c>
      <c r="AG4" s="70">
        <v>1031</v>
      </c>
      <c r="AH4" s="70">
        <v>1231</v>
      </c>
      <c r="AI4" s="70">
        <v>1230</v>
      </c>
      <c r="AJ4" s="117">
        <v>1116</v>
      </c>
      <c r="AK4" s="118">
        <v>1229</v>
      </c>
      <c r="AL4" s="118">
        <v>826</v>
      </c>
      <c r="AM4" s="118">
        <v>1403</v>
      </c>
      <c r="AN4" s="118">
        <v>1705</v>
      </c>
      <c r="AO4" s="118">
        <v>1714</v>
      </c>
      <c r="AP4" s="118">
        <v>1115</v>
      </c>
      <c r="AQ4" s="118">
        <v>1727</v>
      </c>
      <c r="AR4" s="118">
        <v>1729</v>
      </c>
    </row>
    <row r="5" spans="1:44" ht="39.75" x14ac:dyDescent="0.3">
      <c r="A5" s="71" t="s">
        <v>42</v>
      </c>
      <c r="B5" s="72" t="s">
        <v>65</v>
      </c>
      <c r="C5" s="73"/>
      <c r="D5" s="74">
        <v>6000</v>
      </c>
      <c r="E5" s="75">
        <v>60000</v>
      </c>
      <c r="F5" s="76">
        <v>10</v>
      </c>
      <c r="G5" s="77"/>
      <c r="H5" s="77"/>
      <c r="I5" s="77"/>
      <c r="J5" s="77"/>
      <c r="K5" s="100">
        <v>1</v>
      </c>
      <c r="L5" s="94">
        <v>1</v>
      </c>
      <c r="M5" s="77"/>
      <c r="N5" s="100">
        <v>1</v>
      </c>
      <c r="O5" s="94">
        <v>1</v>
      </c>
      <c r="P5" s="100">
        <v>1</v>
      </c>
      <c r="Q5" s="77"/>
      <c r="R5" s="77"/>
      <c r="S5" s="100">
        <v>1</v>
      </c>
      <c r="T5" s="77"/>
      <c r="U5" s="94">
        <v>1</v>
      </c>
      <c r="V5" s="77"/>
      <c r="W5" s="77"/>
      <c r="X5" s="77"/>
      <c r="Y5" s="77"/>
      <c r="Z5" s="77"/>
      <c r="AA5" s="77"/>
      <c r="AB5" s="94">
        <v>1</v>
      </c>
      <c r="AC5" s="77"/>
      <c r="AD5" s="77"/>
      <c r="AE5" s="77"/>
      <c r="AF5" s="77"/>
      <c r="AG5" s="77"/>
      <c r="AH5" s="94">
        <v>1</v>
      </c>
      <c r="AI5" s="77"/>
      <c r="AJ5" s="119"/>
      <c r="AK5" s="77"/>
      <c r="AL5" s="77"/>
      <c r="AM5" s="77"/>
      <c r="AN5" s="77"/>
      <c r="AO5" s="100">
        <v>1</v>
      </c>
      <c r="AP5" s="77"/>
      <c r="AQ5" s="77"/>
      <c r="AR5" s="77"/>
    </row>
    <row r="6" spans="1:44" ht="39.75" x14ac:dyDescent="0.3">
      <c r="A6" s="78" t="s">
        <v>44</v>
      </c>
      <c r="B6" s="79" t="s">
        <v>80</v>
      </c>
      <c r="C6" s="80"/>
      <c r="D6" s="81">
        <v>6500</v>
      </c>
      <c r="E6" s="82">
        <v>45500</v>
      </c>
      <c r="F6" s="76">
        <v>7</v>
      </c>
      <c r="G6" s="83"/>
      <c r="H6" s="83"/>
      <c r="I6" s="83"/>
      <c r="J6" s="95">
        <v>1</v>
      </c>
      <c r="K6" s="83"/>
      <c r="L6" s="83"/>
      <c r="M6" s="83"/>
      <c r="N6" s="96">
        <v>1</v>
      </c>
      <c r="O6" s="83"/>
      <c r="P6" s="83"/>
      <c r="Q6" s="83"/>
      <c r="R6" s="83"/>
      <c r="S6" s="83"/>
      <c r="T6" s="83"/>
      <c r="U6" s="93">
        <v>1</v>
      </c>
      <c r="V6" s="83"/>
      <c r="W6" s="83"/>
      <c r="X6" s="83"/>
      <c r="Y6" s="93">
        <v>1</v>
      </c>
      <c r="Z6" s="83"/>
      <c r="AA6" s="83"/>
      <c r="AB6" s="83"/>
      <c r="AC6" s="95">
        <v>1</v>
      </c>
      <c r="AD6" s="83"/>
      <c r="AE6" s="83"/>
      <c r="AF6" s="83"/>
      <c r="AG6" s="96">
        <v>1</v>
      </c>
      <c r="AH6" s="83"/>
      <c r="AI6" s="83"/>
      <c r="AJ6" s="120"/>
      <c r="AK6" s="83"/>
      <c r="AL6" s="83"/>
      <c r="AM6" s="83"/>
      <c r="AN6" s="83"/>
      <c r="AO6" s="83"/>
      <c r="AP6" s="93">
        <v>1</v>
      </c>
      <c r="AQ6" s="83"/>
      <c r="AR6" s="83"/>
    </row>
    <row r="7" spans="1:44" ht="39.75" x14ac:dyDescent="0.3">
      <c r="A7" s="78" t="s">
        <v>46</v>
      </c>
      <c r="B7" s="79" t="s">
        <v>76</v>
      </c>
      <c r="C7" s="80"/>
      <c r="D7" s="81">
        <v>7000</v>
      </c>
      <c r="E7" s="82">
        <v>49000</v>
      </c>
      <c r="F7" s="76">
        <v>7</v>
      </c>
      <c r="G7" s="83"/>
      <c r="H7" s="83"/>
      <c r="I7" s="83"/>
      <c r="J7" s="83"/>
      <c r="K7" s="83"/>
      <c r="L7" s="83"/>
      <c r="M7" s="83"/>
      <c r="N7" s="96">
        <v>1</v>
      </c>
      <c r="O7" s="83"/>
      <c r="P7" s="83"/>
      <c r="Q7" s="83"/>
      <c r="R7" s="83"/>
      <c r="S7" s="96">
        <v>1</v>
      </c>
      <c r="T7" s="83"/>
      <c r="U7" s="93">
        <v>1</v>
      </c>
      <c r="V7" s="83"/>
      <c r="W7" s="83"/>
      <c r="X7" s="93">
        <v>1</v>
      </c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120"/>
      <c r="AK7" s="83"/>
      <c r="AL7" s="93">
        <v>1</v>
      </c>
      <c r="AM7" s="83"/>
      <c r="AN7" s="95">
        <v>1</v>
      </c>
      <c r="AO7" s="83"/>
      <c r="AP7" s="83"/>
      <c r="AQ7" s="83"/>
      <c r="AR7" s="93">
        <v>1</v>
      </c>
    </row>
    <row r="8" spans="1:44" ht="26.25" x14ac:dyDescent="0.3">
      <c r="A8" s="78" t="s">
        <v>48</v>
      </c>
      <c r="B8" s="79" t="s">
        <v>69</v>
      </c>
      <c r="C8" s="80"/>
      <c r="D8" s="81">
        <v>5500</v>
      </c>
      <c r="E8" s="82">
        <v>159500</v>
      </c>
      <c r="F8" s="76">
        <v>29</v>
      </c>
      <c r="G8" s="96">
        <v>1</v>
      </c>
      <c r="H8" s="93">
        <v>1</v>
      </c>
      <c r="I8" s="96">
        <v>2</v>
      </c>
      <c r="J8" s="95">
        <v>1</v>
      </c>
      <c r="K8" s="83"/>
      <c r="L8" s="83"/>
      <c r="M8" s="93">
        <v>2</v>
      </c>
      <c r="N8" s="96">
        <v>1</v>
      </c>
      <c r="O8" s="83"/>
      <c r="P8" s="83"/>
      <c r="Q8" s="83"/>
      <c r="R8" s="93">
        <v>2</v>
      </c>
      <c r="S8" s="83"/>
      <c r="T8" s="96">
        <v>2</v>
      </c>
      <c r="U8" s="93">
        <v>1</v>
      </c>
      <c r="V8" s="93">
        <v>1</v>
      </c>
      <c r="W8" s="96">
        <v>1</v>
      </c>
      <c r="X8" s="93">
        <v>1</v>
      </c>
      <c r="Y8" s="83"/>
      <c r="Z8" s="83"/>
      <c r="AA8" s="96">
        <v>1</v>
      </c>
      <c r="AB8" s="83"/>
      <c r="AC8" s="83"/>
      <c r="AD8" s="93">
        <v>2</v>
      </c>
      <c r="AE8" s="95">
        <v>1</v>
      </c>
      <c r="AF8" s="95">
        <v>1</v>
      </c>
      <c r="AG8" s="83"/>
      <c r="AH8" s="83"/>
      <c r="AI8" s="93">
        <v>2</v>
      </c>
      <c r="AJ8" s="129">
        <v>2</v>
      </c>
      <c r="AK8" s="83"/>
      <c r="AL8" s="93">
        <v>1</v>
      </c>
      <c r="AM8" s="83"/>
      <c r="AN8" s="83"/>
      <c r="AO8" s="83"/>
      <c r="AP8" s="93">
        <v>1</v>
      </c>
      <c r="AQ8" s="93">
        <v>2</v>
      </c>
      <c r="AR8" s="83"/>
    </row>
    <row r="9" spans="1:44" ht="26.25" x14ac:dyDescent="0.3">
      <c r="A9" s="78" t="s">
        <v>50</v>
      </c>
      <c r="B9" s="79" t="s">
        <v>70</v>
      </c>
      <c r="C9" s="80" t="s">
        <v>81</v>
      </c>
      <c r="D9" s="81">
        <v>4000</v>
      </c>
      <c r="E9" s="82">
        <v>4000</v>
      </c>
      <c r="F9" s="76">
        <v>1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93">
        <v>1</v>
      </c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120"/>
      <c r="AK9" s="83"/>
      <c r="AL9" s="83"/>
      <c r="AM9" s="83"/>
      <c r="AN9" s="83"/>
      <c r="AO9" s="83"/>
      <c r="AP9" s="83"/>
      <c r="AQ9" s="83"/>
      <c r="AR9" s="83"/>
    </row>
    <row r="10" spans="1:44" ht="27" x14ac:dyDescent="0.3">
      <c r="A10" s="78" t="s">
        <v>52</v>
      </c>
      <c r="B10" s="79" t="s">
        <v>71</v>
      </c>
      <c r="C10" s="80"/>
      <c r="D10" s="81">
        <v>4000</v>
      </c>
      <c r="E10" s="82">
        <v>12000</v>
      </c>
      <c r="F10" s="76">
        <v>3</v>
      </c>
      <c r="G10" s="83"/>
      <c r="H10" s="83"/>
      <c r="I10" s="83"/>
      <c r="J10" s="95">
        <v>1</v>
      </c>
      <c r="K10" s="83"/>
      <c r="L10" s="83"/>
      <c r="M10" s="83"/>
      <c r="N10" s="83"/>
      <c r="O10" s="83"/>
      <c r="P10" s="83"/>
      <c r="Q10" s="93">
        <v>1</v>
      </c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120"/>
      <c r="AK10" s="93">
        <v>1</v>
      </c>
      <c r="AL10" s="83"/>
      <c r="AM10" s="83"/>
      <c r="AN10" s="83"/>
      <c r="AO10" s="83"/>
      <c r="AP10" s="83"/>
      <c r="AQ10" s="83"/>
      <c r="AR10" s="83"/>
    </row>
    <row r="11" spans="1:44" ht="39" x14ac:dyDescent="0.3">
      <c r="A11" s="78" t="s">
        <v>54</v>
      </c>
      <c r="B11" s="79" t="s">
        <v>72</v>
      </c>
      <c r="C11" s="80"/>
      <c r="D11" s="81">
        <v>4000</v>
      </c>
      <c r="E11" s="82">
        <v>12000</v>
      </c>
      <c r="F11" s="76">
        <v>3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93">
        <v>1</v>
      </c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120"/>
      <c r="AK11" s="83"/>
      <c r="AL11" s="83"/>
      <c r="AM11" s="93">
        <v>1</v>
      </c>
      <c r="AN11" s="83"/>
      <c r="AO11" s="83"/>
      <c r="AP11" s="83"/>
      <c r="AQ11" s="93">
        <v>1</v>
      </c>
      <c r="AR11" s="83"/>
    </row>
    <row r="12" spans="1:44" ht="26.25" x14ac:dyDescent="0.3">
      <c r="A12" s="78" t="s">
        <v>56</v>
      </c>
      <c r="B12" s="79" t="s">
        <v>71</v>
      </c>
      <c r="C12" s="80"/>
      <c r="D12" s="81">
        <v>5000</v>
      </c>
      <c r="E12" s="82">
        <v>10000</v>
      </c>
      <c r="F12" s="76">
        <v>2</v>
      </c>
      <c r="G12" s="101">
        <v>1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97">
        <v>1</v>
      </c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121"/>
      <c r="AK12" s="83"/>
      <c r="AL12" s="83"/>
      <c r="AM12" s="83"/>
      <c r="AN12" s="83"/>
      <c r="AO12" s="83"/>
      <c r="AP12" s="83"/>
      <c r="AQ12" s="83"/>
      <c r="AR12" s="83"/>
    </row>
    <row r="13" spans="1:44" ht="39" x14ac:dyDescent="0.3">
      <c r="A13" s="78" t="s">
        <v>57</v>
      </c>
      <c r="B13" s="79" t="s">
        <v>65</v>
      </c>
      <c r="C13" s="80"/>
      <c r="D13" s="81">
        <v>7000</v>
      </c>
      <c r="E13" s="82">
        <v>7000</v>
      </c>
      <c r="F13" s="76">
        <v>1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95">
        <v>1</v>
      </c>
      <c r="AA13" s="83"/>
      <c r="AB13" s="83"/>
      <c r="AC13" s="83"/>
      <c r="AD13" s="83"/>
      <c r="AE13" s="83"/>
      <c r="AF13" s="83"/>
      <c r="AG13" s="83"/>
      <c r="AH13" s="83"/>
      <c r="AI13" s="83"/>
      <c r="AJ13" s="120"/>
      <c r="AK13" s="83"/>
      <c r="AL13" s="83"/>
      <c r="AM13" s="83"/>
      <c r="AN13" s="83"/>
      <c r="AO13" s="83"/>
      <c r="AP13" s="83"/>
      <c r="AQ13" s="83"/>
      <c r="AR13" s="83"/>
    </row>
    <row r="14" spans="1:44" ht="26.25" x14ac:dyDescent="0.3">
      <c r="A14" s="78" t="s">
        <v>58</v>
      </c>
      <c r="B14" s="79" t="s">
        <v>77</v>
      </c>
      <c r="C14" s="80"/>
      <c r="D14" s="81">
        <v>7000</v>
      </c>
      <c r="E14" s="82">
        <v>14000</v>
      </c>
      <c r="F14" s="76">
        <v>2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93">
        <v>1</v>
      </c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120"/>
      <c r="AK14" s="83"/>
      <c r="AL14" s="83"/>
      <c r="AM14" s="93">
        <v>1</v>
      </c>
      <c r="AN14" s="83"/>
      <c r="AO14" s="83"/>
      <c r="AP14" s="83"/>
      <c r="AQ14" s="83"/>
      <c r="AR14" s="83"/>
    </row>
    <row r="15" spans="1:44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120"/>
      <c r="AK15" s="83"/>
      <c r="AL15" s="83"/>
      <c r="AM15" s="83"/>
      <c r="AN15" s="83"/>
      <c r="AO15" s="83"/>
      <c r="AP15" s="83"/>
      <c r="AQ15" s="83"/>
      <c r="AR15" s="83"/>
    </row>
    <row r="16" spans="1:44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120"/>
      <c r="AK16" s="83"/>
      <c r="AL16" s="83"/>
      <c r="AM16" s="83"/>
      <c r="AN16" s="83"/>
      <c r="AO16" s="83"/>
      <c r="AP16" s="83"/>
      <c r="AQ16" s="83"/>
      <c r="AR16" s="83"/>
    </row>
    <row r="17" spans="1:44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121"/>
      <c r="AK17" s="83"/>
      <c r="AL17" s="83"/>
      <c r="AM17" s="83"/>
      <c r="AN17" s="83"/>
      <c r="AO17" s="83"/>
      <c r="AP17" s="83"/>
      <c r="AQ17" s="83"/>
      <c r="AR17" s="83"/>
    </row>
    <row r="18" spans="1:44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120"/>
      <c r="AK18" s="84"/>
      <c r="AL18" s="84"/>
      <c r="AM18" s="84"/>
      <c r="AN18" s="84"/>
      <c r="AO18" s="84"/>
      <c r="AP18" s="84"/>
      <c r="AQ18" s="84"/>
      <c r="AR18" s="84"/>
    </row>
    <row r="19" spans="1:44" x14ac:dyDescent="0.3">
      <c r="A19" s="153" t="s">
        <v>64</v>
      </c>
      <c r="B19" s="154"/>
      <c r="C19" s="155"/>
      <c r="D19" s="159">
        <v>61500</v>
      </c>
      <c r="E19" s="141">
        <v>373000</v>
      </c>
      <c r="F19" s="141">
        <v>65</v>
      </c>
      <c r="G19" s="90">
        <v>2</v>
      </c>
      <c r="H19" s="90">
        <v>1</v>
      </c>
      <c r="I19" s="90">
        <v>2</v>
      </c>
      <c r="J19" s="90">
        <v>3</v>
      </c>
      <c r="K19" s="90">
        <v>1</v>
      </c>
      <c r="L19" s="90">
        <v>1</v>
      </c>
      <c r="M19" s="90">
        <v>2</v>
      </c>
      <c r="N19" s="90">
        <v>4</v>
      </c>
      <c r="O19" s="90">
        <v>1</v>
      </c>
      <c r="P19" s="90">
        <v>1</v>
      </c>
      <c r="Q19" s="90">
        <v>1</v>
      </c>
      <c r="R19" s="90">
        <v>4</v>
      </c>
      <c r="S19" s="90">
        <v>2</v>
      </c>
      <c r="T19" s="90">
        <v>2</v>
      </c>
      <c r="U19" s="90">
        <v>4</v>
      </c>
      <c r="V19" s="90">
        <v>1</v>
      </c>
      <c r="W19" s="90">
        <v>1</v>
      </c>
      <c r="X19" s="90">
        <v>4</v>
      </c>
      <c r="Y19" s="90">
        <v>1</v>
      </c>
      <c r="Z19" s="90">
        <v>1</v>
      </c>
      <c r="AA19" s="90">
        <v>1</v>
      </c>
      <c r="AB19" s="90">
        <v>1</v>
      </c>
      <c r="AC19" s="90">
        <v>1</v>
      </c>
      <c r="AD19" s="90">
        <v>2</v>
      </c>
      <c r="AE19" s="90">
        <v>1</v>
      </c>
      <c r="AF19" s="90">
        <v>1</v>
      </c>
      <c r="AG19" s="90">
        <v>1</v>
      </c>
      <c r="AH19" s="90">
        <v>1</v>
      </c>
      <c r="AI19" s="90">
        <v>2</v>
      </c>
      <c r="AJ19" s="122">
        <v>2</v>
      </c>
      <c r="AK19" s="123">
        <v>1</v>
      </c>
      <c r="AL19" s="123">
        <v>2</v>
      </c>
      <c r="AM19" s="123">
        <v>2</v>
      </c>
      <c r="AN19" s="123">
        <v>1</v>
      </c>
      <c r="AO19" s="123">
        <v>1</v>
      </c>
      <c r="AP19" s="123">
        <v>2</v>
      </c>
      <c r="AQ19" s="123">
        <v>3</v>
      </c>
      <c r="AR19" s="123">
        <v>1</v>
      </c>
    </row>
    <row r="20" spans="1:44" x14ac:dyDescent="0.3">
      <c r="A20" s="156"/>
      <c r="B20" s="157"/>
      <c r="C20" s="158"/>
      <c r="D20" s="160"/>
      <c r="E20" s="142"/>
      <c r="F20" s="142"/>
      <c r="G20" s="91">
        <v>10500</v>
      </c>
      <c r="H20" s="92">
        <v>5500</v>
      </c>
      <c r="I20" s="92">
        <v>11000</v>
      </c>
      <c r="J20" s="92">
        <v>16000</v>
      </c>
      <c r="K20" s="92">
        <v>6000</v>
      </c>
      <c r="L20" s="92">
        <v>6000</v>
      </c>
      <c r="M20" s="92">
        <v>11000</v>
      </c>
      <c r="N20" s="92">
        <v>25000</v>
      </c>
      <c r="O20" s="92">
        <v>6000</v>
      </c>
      <c r="P20" s="92">
        <v>6000</v>
      </c>
      <c r="Q20" s="92">
        <v>4000</v>
      </c>
      <c r="R20" s="92">
        <v>23000</v>
      </c>
      <c r="S20" s="92">
        <v>13000</v>
      </c>
      <c r="T20" s="92">
        <v>11000</v>
      </c>
      <c r="U20" s="92">
        <v>25000</v>
      </c>
      <c r="V20" s="92">
        <v>5500</v>
      </c>
      <c r="W20" s="92">
        <v>5500</v>
      </c>
      <c r="X20" s="92">
        <v>20500</v>
      </c>
      <c r="Y20" s="92">
        <v>6500</v>
      </c>
      <c r="Z20" s="92">
        <v>7000</v>
      </c>
      <c r="AA20" s="92">
        <v>5500</v>
      </c>
      <c r="AB20" s="92">
        <v>6000</v>
      </c>
      <c r="AC20" s="92">
        <v>6500</v>
      </c>
      <c r="AD20" s="92">
        <v>11000</v>
      </c>
      <c r="AE20" s="92">
        <v>5500</v>
      </c>
      <c r="AF20" s="92">
        <v>5500</v>
      </c>
      <c r="AG20" s="92">
        <v>6500</v>
      </c>
      <c r="AH20" s="92">
        <v>6000</v>
      </c>
      <c r="AI20" s="92">
        <v>11000</v>
      </c>
      <c r="AJ20" s="124">
        <v>11000</v>
      </c>
      <c r="AK20" s="92">
        <v>4000</v>
      </c>
      <c r="AL20" s="92">
        <v>12500</v>
      </c>
      <c r="AM20" s="92">
        <v>11000</v>
      </c>
      <c r="AN20" s="92">
        <v>7000</v>
      </c>
      <c r="AO20" s="92">
        <v>6000</v>
      </c>
      <c r="AP20" s="92">
        <v>12000</v>
      </c>
      <c r="AQ20" s="92">
        <v>15000</v>
      </c>
      <c r="AR20" s="92">
        <v>7000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8C56-404E-4601-B11D-2E24C7B55D1C}">
  <dimension ref="A1:Q20"/>
  <sheetViews>
    <sheetView topLeftCell="B1" workbookViewId="0">
      <selection activeCell="Q12" sqref="Q12"/>
    </sheetView>
  </sheetViews>
  <sheetFormatPr defaultRowHeight="16.5" x14ac:dyDescent="0.3"/>
  <sheetData>
    <row r="1" spans="1:17" ht="20.25" x14ac:dyDescent="0.3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17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</row>
    <row r="3" spans="1:17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</row>
    <row r="4" spans="1:17" x14ac:dyDescent="0.3">
      <c r="A4" s="144"/>
      <c r="B4" s="146"/>
      <c r="C4" s="148"/>
      <c r="D4" s="150"/>
      <c r="E4" s="152"/>
      <c r="F4" s="69" t="s">
        <v>41</v>
      </c>
      <c r="G4" s="70">
        <v>1225</v>
      </c>
      <c r="H4" s="70">
        <v>1727</v>
      </c>
      <c r="I4" s="70">
        <v>1221</v>
      </c>
      <c r="J4" s="70">
        <v>1025</v>
      </c>
      <c r="K4" s="70">
        <v>503</v>
      </c>
      <c r="L4" s="70">
        <v>1502</v>
      </c>
      <c r="M4" s="70">
        <v>1230</v>
      </c>
      <c r="N4" s="70">
        <v>1525</v>
      </c>
      <c r="O4" s="70">
        <v>523</v>
      </c>
      <c r="P4" s="70">
        <v>710</v>
      </c>
      <c r="Q4" s="70">
        <v>823</v>
      </c>
    </row>
    <row r="5" spans="1:17" ht="39.75" x14ac:dyDescent="0.3">
      <c r="A5" s="71" t="s">
        <v>42</v>
      </c>
      <c r="B5" s="72"/>
      <c r="C5" s="73"/>
      <c r="D5" s="74">
        <v>6000</v>
      </c>
      <c r="E5" s="75">
        <v>30000</v>
      </c>
      <c r="F5" s="76">
        <v>5</v>
      </c>
      <c r="G5" s="77"/>
      <c r="H5" s="77"/>
      <c r="I5" s="94">
        <v>1</v>
      </c>
      <c r="J5" s="100">
        <v>1</v>
      </c>
      <c r="K5" s="77">
        <v>1</v>
      </c>
      <c r="L5" s="100">
        <v>1</v>
      </c>
      <c r="M5" s="77">
        <v>1</v>
      </c>
      <c r="N5" s="77"/>
      <c r="O5" s="77"/>
      <c r="P5" s="77"/>
      <c r="Q5" s="77"/>
    </row>
    <row r="6" spans="1:17" ht="39.75" x14ac:dyDescent="0.3">
      <c r="A6" s="78" t="s">
        <v>44</v>
      </c>
      <c r="B6" s="79"/>
      <c r="C6" s="80"/>
      <c r="D6" s="81">
        <v>6500</v>
      </c>
      <c r="E6" s="82">
        <v>26000</v>
      </c>
      <c r="F6" s="76">
        <v>4</v>
      </c>
      <c r="G6" s="83"/>
      <c r="H6" s="83"/>
      <c r="I6" s="83"/>
      <c r="J6" s="96">
        <v>1</v>
      </c>
      <c r="K6" s="83"/>
      <c r="L6" s="83"/>
      <c r="M6" s="83"/>
      <c r="N6" s="95">
        <v>1</v>
      </c>
      <c r="O6" s="83"/>
      <c r="P6" s="83">
        <v>1</v>
      </c>
      <c r="Q6" s="83">
        <v>1</v>
      </c>
    </row>
    <row r="7" spans="1:17" ht="39.75" x14ac:dyDescent="0.3">
      <c r="A7" s="78" t="s">
        <v>46</v>
      </c>
      <c r="B7" s="79"/>
      <c r="C7" s="80"/>
      <c r="D7" s="81">
        <v>7000</v>
      </c>
      <c r="E7" s="82">
        <v>21000</v>
      </c>
      <c r="F7" s="76">
        <v>3</v>
      </c>
      <c r="G7" s="83"/>
      <c r="H7" s="83"/>
      <c r="I7" s="83"/>
      <c r="J7" s="96">
        <v>1</v>
      </c>
      <c r="K7" s="83">
        <v>1</v>
      </c>
      <c r="L7" s="83"/>
      <c r="M7" s="83">
        <v>1</v>
      </c>
      <c r="N7" s="83"/>
      <c r="O7" s="83"/>
      <c r="P7" s="83"/>
      <c r="Q7" s="83"/>
    </row>
    <row r="8" spans="1:17" ht="26.25" x14ac:dyDescent="0.3">
      <c r="A8" s="78" t="s">
        <v>48</v>
      </c>
      <c r="B8" s="79"/>
      <c r="C8" s="80"/>
      <c r="D8" s="81">
        <v>5500</v>
      </c>
      <c r="E8" s="82">
        <v>33000</v>
      </c>
      <c r="F8" s="76">
        <v>6</v>
      </c>
      <c r="G8" s="83"/>
      <c r="H8" s="93">
        <v>1</v>
      </c>
      <c r="I8" s="93">
        <v>2</v>
      </c>
      <c r="J8" s="96">
        <v>2</v>
      </c>
      <c r="K8" s="83"/>
      <c r="L8" s="83"/>
      <c r="M8" s="83"/>
      <c r="N8" s="83"/>
      <c r="O8" s="95">
        <v>1</v>
      </c>
      <c r="P8" s="83"/>
      <c r="Q8" s="83"/>
    </row>
    <row r="9" spans="1:17" ht="26.25" x14ac:dyDescent="0.3">
      <c r="A9" s="78" t="s">
        <v>50</v>
      </c>
      <c r="B9" s="79"/>
      <c r="C9" s="80"/>
      <c r="D9" s="81">
        <v>4000</v>
      </c>
      <c r="E9" s="82">
        <v>4000</v>
      </c>
      <c r="F9" s="76">
        <v>1</v>
      </c>
      <c r="G9" s="83"/>
      <c r="H9" s="83"/>
      <c r="I9" s="83"/>
      <c r="J9" s="96">
        <v>1</v>
      </c>
      <c r="K9" s="83"/>
      <c r="L9" s="83"/>
      <c r="M9" s="83"/>
      <c r="N9" s="83"/>
      <c r="O9" s="83"/>
      <c r="P9" s="83"/>
      <c r="Q9" s="83"/>
    </row>
    <row r="10" spans="1:17" ht="27" x14ac:dyDescent="0.3">
      <c r="A10" s="78" t="s">
        <v>52</v>
      </c>
      <c r="B10" s="79"/>
      <c r="C10" s="80"/>
      <c r="D10" s="81">
        <v>4000</v>
      </c>
      <c r="E10" s="82">
        <v>8000</v>
      </c>
      <c r="F10" s="76">
        <v>2</v>
      </c>
      <c r="G10" s="83"/>
      <c r="H10" s="83"/>
      <c r="I10" s="83"/>
      <c r="J10" s="96">
        <v>1</v>
      </c>
      <c r="K10" s="83"/>
      <c r="L10" s="83"/>
      <c r="M10" s="83"/>
      <c r="N10" s="83"/>
      <c r="O10" s="83"/>
      <c r="P10" s="83">
        <v>1</v>
      </c>
      <c r="Q10" s="83"/>
    </row>
    <row r="11" spans="1:17" ht="39" x14ac:dyDescent="0.3">
      <c r="A11" s="78" t="s">
        <v>54</v>
      </c>
      <c r="B11" s="79"/>
      <c r="C11" s="80"/>
      <c r="D11" s="81">
        <v>4000</v>
      </c>
      <c r="E11" s="82">
        <v>12000</v>
      </c>
      <c r="F11" s="76">
        <v>3</v>
      </c>
      <c r="G11" s="83">
        <v>1</v>
      </c>
      <c r="H11" s="93">
        <v>1</v>
      </c>
      <c r="I11" s="83"/>
      <c r="J11" s="96">
        <v>1</v>
      </c>
      <c r="K11" s="83"/>
      <c r="L11" s="83"/>
      <c r="M11" s="83"/>
      <c r="N11" s="83"/>
      <c r="O11" s="83"/>
      <c r="P11" s="83"/>
      <c r="Q11" s="83"/>
    </row>
    <row r="12" spans="1:17" ht="26.25" x14ac:dyDescent="0.3">
      <c r="A12" s="78" t="s">
        <v>56</v>
      </c>
      <c r="B12" s="79"/>
      <c r="C12" s="80"/>
      <c r="D12" s="81">
        <v>5000</v>
      </c>
      <c r="E12" s="82">
        <v>5000</v>
      </c>
      <c r="F12" s="76">
        <v>1</v>
      </c>
      <c r="G12" s="84"/>
      <c r="H12" s="84"/>
      <c r="I12" s="84"/>
      <c r="J12" s="101">
        <v>1</v>
      </c>
      <c r="K12" s="84"/>
      <c r="L12" s="84"/>
      <c r="M12" s="84"/>
      <c r="N12" s="84"/>
      <c r="O12" s="84"/>
      <c r="P12" s="84"/>
      <c r="Q12" s="84"/>
    </row>
    <row r="13" spans="1:17" ht="39" x14ac:dyDescent="0.3">
      <c r="A13" s="78" t="s">
        <v>57</v>
      </c>
      <c r="B13" s="79"/>
      <c r="C13" s="80"/>
      <c r="D13" s="81">
        <v>7000</v>
      </c>
      <c r="E13" s="82">
        <v>7000</v>
      </c>
      <c r="F13" s="76">
        <v>1</v>
      </c>
      <c r="G13" s="83"/>
      <c r="H13" s="83"/>
      <c r="I13" s="83"/>
      <c r="J13" s="96">
        <v>1</v>
      </c>
      <c r="K13" s="83"/>
      <c r="L13" s="83"/>
      <c r="M13" s="83"/>
      <c r="N13" s="83"/>
      <c r="O13" s="83"/>
      <c r="P13" s="83"/>
      <c r="Q13" s="83"/>
    </row>
    <row r="14" spans="1:17" ht="26.25" x14ac:dyDescent="0.3">
      <c r="A14" s="78" t="s">
        <v>58</v>
      </c>
      <c r="B14" s="79"/>
      <c r="C14" s="80"/>
      <c r="D14" s="81">
        <v>7000</v>
      </c>
      <c r="E14" s="82">
        <v>7000</v>
      </c>
      <c r="F14" s="76">
        <v>1</v>
      </c>
      <c r="G14" s="83"/>
      <c r="H14" s="83"/>
      <c r="I14" s="83"/>
      <c r="J14" s="96">
        <v>1</v>
      </c>
      <c r="K14" s="83"/>
      <c r="L14" s="83"/>
      <c r="M14" s="83"/>
      <c r="N14" s="83"/>
      <c r="O14" s="83"/>
      <c r="P14" s="83"/>
      <c r="Q14" s="83"/>
    </row>
    <row r="15" spans="1:17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</row>
    <row r="16" spans="1:17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</row>
    <row r="17" spans="1:17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</row>
    <row r="18" spans="1:17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</row>
    <row r="19" spans="1:17" x14ac:dyDescent="0.3">
      <c r="A19" s="153" t="s">
        <v>64</v>
      </c>
      <c r="B19" s="154"/>
      <c r="C19" s="155"/>
      <c r="D19" s="159">
        <v>61500</v>
      </c>
      <c r="E19" s="141">
        <v>153000</v>
      </c>
      <c r="F19" s="141">
        <v>27</v>
      </c>
      <c r="G19" s="90">
        <v>1</v>
      </c>
      <c r="H19" s="90">
        <v>2</v>
      </c>
      <c r="I19" s="90">
        <v>3</v>
      </c>
      <c r="J19" s="90">
        <v>11</v>
      </c>
      <c r="K19" s="90">
        <v>2</v>
      </c>
      <c r="L19" s="90">
        <v>1</v>
      </c>
      <c r="M19" s="90">
        <v>2</v>
      </c>
      <c r="N19" s="90">
        <v>1</v>
      </c>
      <c r="O19" s="90">
        <v>1</v>
      </c>
      <c r="P19" s="90">
        <v>2</v>
      </c>
      <c r="Q19" s="90">
        <v>1</v>
      </c>
    </row>
    <row r="20" spans="1:17" x14ac:dyDescent="0.3">
      <c r="A20" s="156"/>
      <c r="B20" s="157"/>
      <c r="C20" s="158"/>
      <c r="D20" s="160"/>
      <c r="E20" s="142"/>
      <c r="F20" s="142"/>
      <c r="G20" s="91">
        <v>4000</v>
      </c>
      <c r="H20" s="92">
        <v>9500</v>
      </c>
      <c r="I20" s="92">
        <v>17000</v>
      </c>
      <c r="J20" s="92">
        <v>61500</v>
      </c>
      <c r="K20" s="92">
        <v>13000</v>
      </c>
      <c r="L20" s="92">
        <v>6000</v>
      </c>
      <c r="M20" s="92">
        <v>13000</v>
      </c>
      <c r="N20" s="92">
        <v>6500</v>
      </c>
      <c r="O20" s="92">
        <v>5500</v>
      </c>
      <c r="P20" s="92">
        <v>10500</v>
      </c>
      <c r="Q20" s="92">
        <v>6500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6D3F-970D-4316-9B31-684C82CE731D}">
  <dimension ref="A1:Y20"/>
  <sheetViews>
    <sheetView topLeftCell="I1" workbookViewId="0">
      <selection activeCell="Y8" sqref="Y8"/>
    </sheetView>
  </sheetViews>
  <sheetFormatPr defaultRowHeight="16.5" x14ac:dyDescent="0.3"/>
  <sheetData>
    <row r="1" spans="1:25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</row>
    <row r="2" spans="1:25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</row>
    <row r="3" spans="1:25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</row>
    <row r="4" spans="1:25" x14ac:dyDescent="0.3">
      <c r="A4" s="144"/>
      <c r="B4" s="146"/>
      <c r="C4" s="148"/>
      <c r="D4" s="150"/>
      <c r="E4" s="152"/>
      <c r="F4" s="69" t="s">
        <v>41</v>
      </c>
      <c r="G4" s="70">
        <v>1023</v>
      </c>
      <c r="H4" s="70">
        <v>1715</v>
      </c>
      <c r="I4" s="70">
        <v>1630</v>
      </c>
      <c r="J4" s="70">
        <v>1231</v>
      </c>
      <c r="K4" s="70">
        <v>1101</v>
      </c>
      <c r="L4" s="70">
        <v>712</v>
      </c>
      <c r="M4" s="70">
        <v>1724</v>
      </c>
      <c r="N4" s="70">
        <v>1220</v>
      </c>
      <c r="O4" s="70">
        <v>922</v>
      </c>
      <c r="P4" s="70">
        <v>1723</v>
      </c>
      <c r="Q4" s="70">
        <v>920</v>
      </c>
      <c r="R4" s="70">
        <v>1214</v>
      </c>
      <c r="S4" s="70">
        <v>928</v>
      </c>
      <c r="T4" s="70">
        <v>602</v>
      </c>
      <c r="U4" s="70">
        <v>917</v>
      </c>
      <c r="V4" s="70">
        <v>717</v>
      </c>
      <c r="W4" s="70">
        <v>1515</v>
      </c>
      <c r="X4" s="70">
        <v>1018</v>
      </c>
      <c r="Y4" s="70">
        <v>1127</v>
      </c>
    </row>
    <row r="5" spans="1:25" ht="39.75" x14ac:dyDescent="0.3">
      <c r="A5" s="71" t="s">
        <v>42</v>
      </c>
      <c r="B5" s="72" t="s">
        <v>79</v>
      </c>
      <c r="C5" s="73"/>
      <c r="D5" s="74">
        <v>6000</v>
      </c>
      <c r="E5" s="75">
        <v>36000</v>
      </c>
      <c r="F5" s="76">
        <v>6</v>
      </c>
      <c r="G5" s="77"/>
      <c r="H5" s="77"/>
      <c r="I5" s="77"/>
      <c r="J5" s="100">
        <v>1</v>
      </c>
      <c r="K5" s="77"/>
      <c r="L5" s="77"/>
      <c r="M5" s="77"/>
      <c r="N5" s="77"/>
      <c r="O5" s="94">
        <v>1</v>
      </c>
      <c r="P5" s="94">
        <v>1</v>
      </c>
      <c r="Q5" s="77"/>
      <c r="R5" s="77"/>
      <c r="S5" s="77"/>
      <c r="T5" s="100">
        <v>1</v>
      </c>
      <c r="U5" s="77"/>
      <c r="V5" s="77"/>
      <c r="W5" s="100">
        <v>1</v>
      </c>
      <c r="X5" s="77"/>
      <c r="Y5" s="94">
        <v>1</v>
      </c>
    </row>
    <row r="6" spans="1:25" ht="39.75" x14ac:dyDescent="0.3">
      <c r="A6" s="78" t="s">
        <v>44</v>
      </c>
      <c r="B6" s="79" t="s">
        <v>66</v>
      </c>
      <c r="C6" s="80"/>
      <c r="D6" s="81">
        <v>6500</v>
      </c>
      <c r="E6" s="82">
        <v>13000</v>
      </c>
      <c r="F6" s="76">
        <v>2</v>
      </c>
      <c r="G6" s="83"/>
      <c r="H6" s="83"/>
      <c r="I6" s="83"/>
      <c r="J6" s="83"/>
      <c r="K6" s="83"/>
      <c r="L6" s="83"/>
      <c r="M6" s="83"/>
      <c r="N6" s="83"/>
      <c r="O6" s="93">
        <v>1</v>
      </c>
      <c r="P6" s="83"/>
      <c r="Q6" s="83">
        <v>1</v>
      </c>
      <c r="R6" s="83"/>
      <c r="S6" s="83"/>
      <c r="T6" s="83"/>
      <c r="U6" s="83"/>
      <c r="V6" s="83"/>
      <c r="W6" s="83"/>
      <c r="X6" s="83"/>
      <c r="Y6" s="83"/>
    </row>
    <row r="7" spans="1:25" ht="39.75" x14ac:dyDescent="0.3">
      <c r="A7" s="78" t="s">
        <v>46</v>
      </c>
      <c r="B7" s="79" t="s">
        <v>76</v>
      </c>
      <c r="C7" s="80" t="s">
        <v>82</v>
      </c>
      <c r="D7" s="81">
        <v>7000</v>
      </c>
      <c r="E7" s="82">
        <v>7000</v>
      </c>
      <c r="F7" s="76">
        <v>1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95">
        <v>1</v>
      </c>
      <c r="V7" s="83"/>
      <c r="W7" s="83"/>
      <c r="X7" s="83"/>
      <c r="Y7" s="83"/>
    </row>
    <row r="8" spans="1:25" ht="26.25" x14ac:dyDescent="0.3">
      <c r="A8" s="78" t="s">
        <v>48</v>
      </c>
      <c r="B8" s="79" t="s">
        <v>69</v>
      </c>
      <c r="C8" s="80"/>
      <c r="D8" s="81">
        <v>5500</v>
      </c>
      <c r="E8" s="82">
        <v>77000</v>
      </c>
      <c r="F8" s="76">
        <v>14</v>
      </c>
      <c r="G8" s="83">
        <v>2</v>
      </c>
      <c r="H8" s="83"/>
      <c r="I8" s="83"/>
      <c r="J8" s="83"/>
      <c r="K8" s="96">
        <v>2</v>
      </c>
      <c r="L8" s="95">
        <v>1</v>
      </c>
      <c r="M8" s="95">
        <v>2</v>
      </c>
      <c r="N8" s="83"/>
      <c r="O8" s="83"/>
      <c r="P8" s="93">
        <v>1</v>
      </c>
      <c r="Q8" s="83">
        <v>2</v>
      </c>
      <c r="R8" s="96">
        <v>2</v>
      </c>
      <c r="S8" s="83"/>
      <c r="T8" s="83"/>
      <c r="U8" s="83"/>
      <c r="V8" s="83"/>
      <c r="W8" s="83"/>
      <c r="X8" s="93">
        <v>1</v>
      </c>
      <c r="Y8" s="93">
        <v>1</v>
      </c>
    </row>
    <row r="9" spans="1:25" ht="26.25" x14ac:dyDescent="0.3">
      <c r="A9" s="78" t="s">
        <v>50</v>
      </c>
      <c r="B9" s="79" t="s">
        <v>70</v>
      </c>
      <c r="C9" s="80" t="s">
        <v>81</v>
      </c>
      <c r="D9" s="81">
        <v>4000</v>
      </c>
      <c r="E9" s="82">
        <v>12000</v>
      </c>
      <c r="F9" s="76">
        <v>3</v>
      </c>
      <c r="G9" s="83"/>
      <c r="H9" s="96">
        <v>1</v>
      </c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93">
        <v>1</v>
      </c>
      <c r="Y9" s="93">
        <v>1</v>
      </c>
    </row>
    <row r="10" spans="1:25" ht="27" x14ac:dyDescent="0.3">
      <c r="A10" s="78" t="s">
        <v>52</v>
      </c>
      <c r="B10" s="79" t="s">
        <v>71</v>
      </c>
      <c r="C10" s="80"/>
      <c r="D10" s="81">
        <v>4000</v>
      </c>
      <c r="E10" s="82">
        <v>24000</v>
      </c>
      <c r="F10" s="76">
        <v>6</v>
      </c>
      <c r="G10" s="83">
        <v>1</v>
      </c>
      <c r="H10" s="83"/>
      <c r="I10" s="96">
        <v>1</v>
      </c>
      <c r="J10" s="83"/>
      <c r="K10" s="83"/>
      <c r="L10" s="83"/>
      <c r="M10" s="83"/>
      <c r="N10" s="96">
        <v>1</v>
      </c>
      <c r="O10" s="83"/>
      <c r="P10" s="83"/>
      <c r="Q10" s="83"/>
      <c r="R10" s="83"/>
      <c r="S10" s="96">
        <v>1</v>
      </c>
      <c r="T10" s="83"/>
      <c r="U10" s="83"/>
      <c r="V10" s="83"/>
      <c r="W10" s="83"/>
      <c r="X10" s="93">
        <v>1</v>
      </c>
      <c r="Y10" s="93">
        <v>1</v>
      </c>
    </row>
    <row r="11" spans="1:25" ht="39" x14ac:dyDescent="0.3">
      <c r="A11" s="78" t="s">
        <v>54</v>
      </c>
      <c r="B11" s="79" t="s">
        <v>72</v>
      </c>
      <c r="C11" s="80"/>
      <c r="D11" s="81">
        <v>4000</v>
      </c>
      <c r="E11" s="82">
        <v>12000</v>
      </c>
      <c r="F11" s="76">
        <v>3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95">
        <v>1</v>
      </c>
      <c r="W11" s="96">
        <v>1</v>
      </c>
      <c r="X11" s="93">
        <v>1</v>
      </c>
      <c r="Y11" s="83"/>
    </row>
    <row r="12" spans="1:25" ht="26.25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 spans="1:25" ht="39" x14ac:dyDescent="0.3">
      <c r="A13" s="78" t="s">
        <v>57</v>
      </c>
      <c r="B13" s="79" t="s">
        <v>65</v>
      </c>
      <c r="C13" s="80" t="s">
        <v>77</v>
      </c>
      <c r="D13" s="81">
        <v>7000</v>
      </c>
      <c r="E13" s="82">
        <v>7000</v>
      </c>
      <c r="F13" s="76">
        <v>1</v>
      </c>
      <c r="G13" s="83"/>
      <c r="H13" s="83"/>
      <c r="I13" s="83"/>
      <c r="J13" s="83"/>
      <c r="K13" s="83"/>
      <c r="L13" s="83"/>
      <c r="M13" s="83"/>
      <c r="N13" s="83"/>
      <c r="O13" s="83"/>
      <c r="P13" s="93">
        <v>1</v>
      </c>
      <c r="Q13" s="83"/>
      <c r="R13" s="83"/>
      <c r="S13" s="83"/>
      <c r="T13" s="83"/>
      <c r="U13" s="83"/>
      <c r="V13" s="83"/>
      <c r="W13" s="83"/>
      <c r="X13" s="83"/>
      <c r="Y13" s="83"/>
    </row>
    <row r="14" spans="1:25" ht="26.25" x14ac:dyDescent="0.3">
      <c r="A14" s="78" t="s">
        <v>58</v>
      </c>
      <c r="B14" s="79" t="s">
        <v>77</v>
      </c>
      <c r="C14" s="80"/>
      <c r="D14" s="81">
        <v>7000</v>
      </c>
      <c r="E14" s="82">
        <v>14000</v>
      </c>
      <c r="F14" s="76">
        <v>2</v>
      </c>
      <c r="G14" s="83"/>
      <c r="H14" s="83"/>
      <c r="I14" s="83"/>
      <c r="J14" s="83"/>
      <c r="K14" s="83"/>
      <c r="L14" s="83"/>
      <c r="M14" s="83"/>
      <c r="N14" s="83"/>
      <c r="O14" s="83"/>
      <c r="P14" s="93">
        <v>1</v>
      </c>
      <c r="Q14" s="83"/>
      <c r="R14" s="83"/>
      <c r="S14" s="96">
        <v>1</v>
      </c>
      <c r="T14" s="83"/>
      <c r="U14" s="83"/>
      <c r="V14" s="83"/>
      <c r="W14" s="83"/>
      <c r="X14" s="83"/>
      <c r="Y14" s="83"/>
    </row>
    <row r="15" spans="1:25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spans="1:25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spans="1:25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 spans="1:25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spans="1:25" x14ac:dyDescent="0.3">
      <c r="A19" s="153" t="s">
        <v>64</v>
      </c>
      <c r="B19" s="154"/>
      <c r="C19" s="155"/>
      <c r="D19" s="159">
        <v>61500</v>
      </c>
      <c r="E19" s="141">
        <v>202000</v>
      </c>
      <c r="F19" s="141">
        <v>38</v>
      </c>
      <c r="G19" s="90">
        <v>3</v>
      </c>
      <c r="H19" s="90">
        <v>1</v>
      </c>
      <c r="I19" s="90">
        <v>1</v>
      </c>
      <c r="J19" s="90">
        <v>1</v>
      </c>
      <c r="K19" s="90">
        <v>2</v>
      </c>
      <c r="L19" s="90">
        <v>1</v>
      </c>
      <c r="M19" s="90">
        <v>2</v>
      </c>
      <c r="N19" s="90">
        <v>1</v>
      </c>
      <c r="O19" s="90">
        <v>2</v>
      </c>
      <c r="P19" s="90">
        <v>4</v>
      </c>
      <c r="Q19" s="90">
        <v>3</v>
      </c>
      <c r="R19" s="90">
        <v>2</v>
      </c>
      <c r="S19" s="90">
        <v>2</v>
      </c>
      <c r="T19" s="90">
        <v>1</v>
      </c>
      <c r="U19" s="90">
        <v>1</v>
      </c>
      <c r="V19" s="90">
        <v>1</v>
      </c>
      <c r="W19" s="90">
        <v>2</v>
      </c>
      <c r="X19" s="90">
        <v>4</v>
      </c>
      <c r="Y19" s="90">
        <v>4</v>
      </c>
    </row>
    <row r="20" spans="1:25" x14ac:dyDescent="0.3">
      <c r="A20" s="156"/>
      <c r="B20" s="157"/>
      <c r="C20" s="158"/>
      <c r="D20" s="160"/>
      <c r="E20" s="142"/>
      <c r="F20" s="142"/>
      <c r="G20" s="91">
        <v>15000</v>
      </c>
      <c r="H20" s="92">
        <v>4000</v>
      </c>
      <c r="I20" s="92">
        <v>4000</v>
      </c>
      <c r="J20" s="92">
        <v>6000</v>
      </c>
      <c r="K20" s="92">
        <v>11000</v>
      </c>
      <c r="L20" s="92">
        <v>5500</v>
      </c>
      <c r="M20" s="92">
        <v>11000</v>
      </c>
      <c r="N20" s="92">
        <v>4000</v>
      </c>
      <c r="O20" s="92">
        <v>12500</v>
      </c>
      <c r="P20" s="92">
        <v>25500</v>
      </c>
      <c r="Q20" s="92">
        <v>17500</v>
      </c>
      <c r="R20" s="92">
        <v>11000</v>
      </c>
      <c r="S20" s="92">
        <v>11000</v>
      </c>
      <c r="T20" s="92">
        <v>6000</v>
      </c>
      <c r="U20" s="92">
        <v>7000</v>
      </c>
      <c r="V20" s="92">
        <v>4000</v>
      </c>
      <c r="W20" s="92">
        <v>10000</v>
      </c>
      <c r="X20" s="92">
        <v>17500</v>
      </c>
      <c r="Y20" s="92">
        <v>19500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EFBF-6278-4706-9DFE-AEF86C55A969}">
  <dimension ref="A1:Z20"/>
  <sheetViews>
    <sheetView workbookViewId="0">
      <selection activeCell="P18" sqref="P18"/>
    </sheetView>
  </sheetViews>
  <sheetFormatPr defaultRowHeight="16.5" x14ac:dyDescent="0.3"/>
  <sheetData>
    <row r="1" spans="1:26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  <c r="Z1" s="64"/>
    </row>
    <row r="2" spans="1:26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  <c r="Z2" s="64"/>
    </row>
    <row r="3" spans="1:26" ht="23.25" customHeight="1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</row>
    <row r="4" spans="1:26" ht="23.25" customHeight="1" x14ac:dyDescent="0.3">
      <c r="A4" s="144"/>
      <c r="B4" s="146"/>
      <c r="C4" s="148"/>
      <c r="D4" s="150"/>
      <c r="E4" s="152"/>
      <c r="F4" s="69" t="s">
        <v>41</v>
      </c>
      <c r="G4" s="70">
        <v>512</v>
      </c>
      <c r="H4" s="70">
        <v>1027</v>
      </c>
      <c r="I4" s="70">
        <v>1203</v>
      </c>
      <c r="J4" s="70">
        <v>1021</v>
      </c>
      <c r="K4" s="70">
        <v>526</v>
      </c>
      <c r="L4" s="70">
        <v>1224</v>
      </c>
      <c r="M4" s="70">
        <v>821</v>
      </c>
      <c r="N4" s="70">
        <v>711</v>
      </c>
      <c r="O4" s="70">
        <v>1603</v>
      </c>
      <c r="P4" s="70">
        <v>1626</v>
      </c>
      <c r="Q4" s="70">
        <v>1723</v>
      </c>
      <c r="R4" s="70">
        <v>509</v>
      </c>
      <c r="S4" s="70">
        <v>1221</v>
      </c>
      <c r="T4" s="70">
        <v>1629</v>
      </c>
      <c r="U4" s="70">
        <v>1618</v>
      </c>
      <c r="V4" s="70">
        <v>501</v>
      </c>
      <c r="W4" s="70">
        <v>706</v>
      </c>
      <c r="X4" s="70">
        <v>1801</v>
      </c>
      <c r="Y4" s="70">
        <v>620</v>
      </c>
      <c r="Z4" s="70">
        <v>1728</v>
      </c>
    </row>
    <row r="5" spans="1:26" ht="23.25" customHeight="1" x14ac:dyDescent="0.3">
      <c r="A5" s="71" t="s">
        <v>42</v>
      </c>
      <c r="B5" s="72" t="s">
        <v>79</v>
      </c>
      <c r="C5" s="73"/>
      <c r="D5" s="74">
        <v>6000</v>
      </c>
      <c r="E5" s="75">
        <v>24000</v>
      </c>
      <c r="F5" s="76">
        <v>4</v>
      </c>
      <c r="G5" s="125">
        <v>1</v>
      </c>
      <c r="H5" s="77"/>
      <c r="I5" s="77"/>
      <c r="J5" s="125">
        <v>1</v>
      </c>
      <c r="K5" s="77"/>
      <c r="L5" s="77"/>
      <c r="M5" s="105">
        <v>1</v>
      </c>
      <c r="N5" s="77"/>
      <c r="O5" s="77"/>
      <c r="P5" s="77"/>
      <c r="Q5" s="77"/>
      <c r="R5" s="77"/>
      <c r="S5" s="106">
        <v>1</v>
      </c>
      <c r="T5" s="77"/>
      <c r="U5" s="77"/>
      <c r="V5" s="77"/>
      <c r="W5" s="77"/>
      <c r="X5" s="77"/>
      <c r="Y5" s="77"/>
      <c r="Z5" s="77"/>
    </row>
    <row r="6" spans="1:26" ht="23.25" customHeight="1" x14ac:dyDescent="0.3">
      <c r="A6" s="78" t="s">
        <v>44</v>
      </c>
      <c r="B6" s="79" t="s">
        <v>66</v>
      </c>
      <c r="C6" s="80"/>
      <c r="D6" s="81">
        <v>6500</v>
      </c>
      <c r="E6" s="82">
        <v>26000</v>
      </c>
      <c r="F6" s="76">
        <v>4</v>
      </c>
      <c r="G6" s="83"/>
      <c r="H6" s="83"/>
      <c r="I6" s="83"/>
      <c r="J6" s="107">
        <v>1</v>
      </c>
      <c r="K6" s="83"/>
      <c r="L6" s="83"/>
      <c r="M6" s="103">
        <v>1</v>
      </c>
      <c r="N6" s="83"/>
      <c r="O6" s="83"/>
      <c r="P6" s="83"/>
      <c r="Q6" s="83"/>
      <c r="R6" s="83"/>
      <c r="S6" s="83"/>
      <c r="T6" s="83"/>
      <c r="U6" s="83"/>
      <c r="V6" s="83"/>
      <c r="W6" s="104">
        <v>1</v>
      </c>
      <c r="X6" s="83"/>
      <c r="Y6" s="83"/>
      <c r="Z6" s="103">
        <v>1</v>
      </c>
    </row>
    <row r="7" spans="1:26" ht="23.25" customHeight="1" x14ac:dyDescent="0.3">
      <c r="A7" s="78" t="s">
        <v>46</v>
      </c>
      <c r="B7" s="79" t="s">
        <v>76</v>
      </c>
      <c r="C7" s="80" t="s">
        <v>82</v>
      </c>
      <c r="D7" s="81">
        <v>7000</v>
      </c>
      <c r="E7" s="82">
        <v>7000</v>
      </c>
      <c r="F7" s="76">
        <v>1</v>
      </c>
      <c r="G7" s="83"/>
      <c r="H7" s="83"/>
      <c r="I7" s="83"/>
      <c r="J7" s="107">
        <v>1</v>
      </c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23.25" customHeight="1" x14ac:dyDescent="0.3">
      <c r="A8" s="78" t="s">
        <v>48</v>
      </c>
      <c r="B8" s="79" t="s">
        <v>69</v>
      </c>
      <c r="C8" s="80"/>
      <c r="D8" s="81">
        <v>5500</v>
      </c>
      <c r="E8" s="82">
        <v>82500</v>
      </c>
      <c r="F8" s="76">
        <v>15</v>
      </c>
      <c r="G8" s="83"/>
      <c r="H8" s="107">
        <v>1</v>
      </c>
      <c r="I8" s="130">
        <v>1</v>
      </c>
      <c r="J8" s="83"/>
      <c r="K8" s="130">
        <v>2</v>
      </c>
      <c r="L8" s="83"/>
      <c r="M8" s="83"/>
      <c r="N8" s="83"/>
      <c r="O8" s="103">
        <v>2</v>
      </c>
      <c r="P8" s="83"/>
      <c r="Q8" s="83"/>
      <c r="R8" s="103">
        <v>1</v>
      </c>
      <c r="S8" s="83"/>
      <c r="T8" s="103">
        <v>2</v>
      </c>
      <c r="U8" s="104">
        <v>1</v>
      </c>
      <c r="V8" s="130">
        <v>2</v>
      </c>
      <c r="W8" s="83"/>
      <c r="X8" s="107">
        <v>2</v>
      </c>
      <c r="Y8" s="130">
        <v>1</v>
      </c>
      <c r="Z8" s="83"/>
    </row>
    <row r="9" spans="1:26" ht="23.25" customHeight="1" x14ac:dyDescent="0.3">
      <c r="A9" s="78" t="s">
        <v>50</v>
      </c>
      <c r="B9" s="79" t="s">
        <v>81</v>
      </c>
      <c r="C9" s="80"/>
      <c r="D9" s="81">
        <v>4000</v>
      </c>
      <c r="E9" s="82">
        <v>12000</v>
      </c>
      <c r="F9" s="76">
        <v>3</v>
      </c>
      <c r="G9" s="83"/>
      <c r="H9" s="83"/>
      <c r="I9" s="83"/>
      <c r="J9" s="83"/>
      <c r="K9" s="130">
        <v>1</v>
      </c>
      <c r="L9" s="83"/>
      <c r="M9" s="83"/>
      <c r="N9" s="103">
        <v>1</v>
      </c>
      <c r="O9" s="83"/>
      <c r="P9" s="83"/>
      <c r="Q9" s="83"/>
      <c r="R9" s="83"/>
      <c r="S9" s="83"/>
      <c r="T9" s="83"/>
      <c r="U9" s="104">
        <v>1</v>
      </c>
      <c r="V9" s="83"/>
      <c r="W9" s="83"/>
      <c r="X9" s="83"/>
      <c r="Y9" s="83"/>
      <c r="Z9" s="83"/>
    </row>
    <row r="10" spans="1:26" ht="23.25" customHeight="1" x14ac:dyDescent="0.3">
      <c r="A10" s="78" t="s">
        <v>52</v>
      </c>
      <c r="B10" s="79" t="s">
        <v>71</v>
      </c>
      <c r="C10" s="80" t="s">
        <v>83</v>
      </c>
      <c r="D10" s="81">
        <v>4000</v>
      </c>
      <c r="E10" s="82">
        <v>16000</v>
      </c>
      <c r="F10" s="76">
        <v>4</v>
      </c>
      <c r="G10" s="83"/>
      <c r="H10" s="83"/>
      <c r="I10" s="83"/>
      <c r="J10" s="83"/>
      <c r="K10" s="103">
        <v>1</v>
      </c>
      <c r="L10" s="104">
        <v>1</v>
      </c>
      <c r="M10" s="83"/>
      <c r="N10" s="103">
        <v>1</v>
      </c>
      <c r="O10" s="83"/>
      <c r="P10" s="83"/>
      <c r="Q10" s="83"/>
      <c r="R10" s="83"/>
      <c r="S10" s="83"/>
      <c r="T10" s="83"/>
      <c r="U10" s="83"/>
      <c r="V10" s="83"/>
      <c r="W10" s="83"/>
      <c r="X10" s="107">
        <v>1</v>
      </c>
      <c r="Y10" s="83"/>
      <c r="Z10" s="83"/>
    </row>
    <row r="11" spans="1:26" ht="23.25" customHeight="1" x14ac:dyDescent="0.3">
      <c r="A11" s="78" t="s">
        <v>54</v>
      </c>
      <c r="B11" s="79" t="s">
        <v>72</v>
      </c>
      <c r="C11" s="80" t="s">
        <v>84</v>
      </c>
      <c r="D11" s="81">
        <v>4000</v>
      </c>
      <c r="E11" s="82">
        <v>4000</v>
      </c>
      <c r="F11" s="76">
        <v>1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104">
        <v>1</v>
      </c>
      <c r="V11" s="83"/>
      <c r="W11" s="83"/>
      <c r="X11" s="83"/>
      <c r="Y11" s="83"/>
      <c r="Z11" s="83"/>
    </row>
    <row r="12" spans="1:26" ht="23.25" customHeight="1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23.25" customHeight="1" x14ac:dyDescent="0.3">
      <c r="A13" s="78" t="s">
        <v>57</v>
      </c>
      <c r="B13" s="79" t="s">
        <v>65</v>
      </c>
      <c r="C13" s="80" t="s">
        <v>77</v>
      </c>
      <c r="D13" s="81">
        <v>7000</v>
      </c>
      <c r="E13" s="82">
        <v>21000</v>
      </c>
      <c r="F13" s="76">
        <v>3</v>
      </c>
      <c r="G13" s="83"/>
      <c r="H13" s="83"/>
      <c r="I13" s="83"/>
      <c r="J13" s="83"/>
      <c r="K13" s="83"/>
      <c r="L13" s="83"/>
      <c r="M13" s="83"/>
      <c r="N13" s="83"/>
      <c r="O13" s="83"/>
      <c r="P13" s="103">
        <v>1</v>
      </c>
      <c r="Q13" s="103">
        <v>1</v>
      </c>
      <c r="R13" s="83"/>
      <c r="S13" s="83"/>
      <c r="T13" s="83"/>
      <c r="U13" s="104">
        <v>1</v>
      </c>
      <c r="V13" s="83"/>
      <c r="W13" s="83"/>
      <c r="X13" s="83"/>
      <c r="Y13" s="83"/>
      <c r="Z13" s="83"/>
    </row>
    <row r="14" spans="1:26" ht="23.25" customHeight="1" x14ac:dyDescent="0.3">
      <c r="A14" s="78" t="s">
        <v>58</v>
      </c>
      <c r="B14" s="79" t="s">
        <v>77</v>
      </c>
      <c r="C14" s="80"/>
      <c r="D14" s="81">
        <v>7000</v>
      </c>
      <c r="E14" s="82">
        <v>21000</v>
      </c>
      <c r="F14" s="76">
        <v>3</v>
      </c>
      <c r="G14" s="83"/>
      <c r="H14" s="83"/>
      <c r="I14" s="83"/>
      <c r="J14" s="83"/>
      <c r="K14" s="83"/>
      <c r="L14" s="83"/>
      <c r="M14" s="83"/>
      <c r="N14" s="83"/>
      <c r="O14" s="83"/>
      <c r="P14" s="103">
        <v>1</v>
      </c>
      <c r="Q14" s="103">
        <v>1</v>
      </c>
      <c r="R14" s="83"/>
      <c r="S14" s="83"/>
      <c r="T14" s="83"/>
      <c r="U14" s="104">
        <v>1</v>
      </c>
      <c r="V14" s="83"/>
      <c r="W14" s="83"/>
      <c r="X14" s="83"/>
      <c r="Y14" s="83"/>
      <c r="Z14" s="83"/>
    </row>
    <row r="15" spans="1:26" ht="23.25" customHeight="1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23.25" customHeight="1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23.25" customHeight="1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23.25" customHeight="1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23.25" customHeight="1" x14ac:dyDescent="0.3">
      <c r="A19" s="153" t="s">
        <v>64</v>
      </c>
      <c r="B19" s="154"/>
      <c r="C19" s="155"/>
      <c r="D19" s="159">
        <v>61500</v>
      </c>
      <c r="E19" s="141">
        <v>213500</v>
      </c>
      <c r="F19" s="141">
        <v>38</v>
      </c>
      <c r="G19" s="90">
        <v>1</v>
      </c>
      <c r="H19" s="90">
        <v>1</v>
      </c>
      <c r="I19" s="90">
        <v>1</v>
      </c>
      <c r="J19" s="90">
        <v>3</v>
      </c>
      <c r="K19" s="90">
        <v>4</v>
      </c>
      <c r="L19" s="90">
        <v>1</v>
      </c>
      <c r="M19" s="90">
        <v>2</v>
      </c>
      <c r="N19" s="90">
        <v>2</v>
      </c>
      <c r="O19" s="90">
        <v>2</v>
      </c>
      <c r="P19" s="90">
        <v>2</v>
      </c>
      <c r="Q19" s="90">
        <v>2</v>
      </c>
      <c r="R19" s="90">
        <v>1</v>
      </c>
      <c r="S19" s="90">
        <v>1</v>
      </c>
      <c r="T19" s="90">
        <v>2</v>
      </c>
      <c r="U19" s="90">
        <v>5</v>
      </c>
      <c r="V19" s="90">
        <v>2</v>
      </c>
      <c r="W19" s="90">
        <v>1</v>
      </c>
      <c r="X19" s="90">
        <v>3</v>
      </c>
      <c r="Y19" s="90">
        <v>1</v>
      </c>
      <c r="Z19" s="90">
        <v>1</v>
      </c>
    </row>
    <row r="20" spans="1:26" ht="23.25" customHeight="1" x14ac:dyDescent="0.3">
      <c r="A20" s="156"/>
      <c r="B20" s="157"/>
      <c r="C20" s="158"/>
      <c r="D20" s="160"/>
      <c r="E20" s="142"/>
      <c r="F20" s="142"/>
      <c r="G20" s="91">
        <v>6000</v>
      </c>
      <c r="H20" s="92">
        <v>5500</v>
      </c>
      <c r="I20" s="92">
        <v>5500</v>
      </c>
      <c r="J20" s="92">
        <v>19500</v>
      </c>
      <c r="K20" s="92">
        <v>19000</v>
      </c>
      <c r="L20" s="92">
        <v>4000</v>
      </c>
      <c r="M20" s="92">
        <v>12500</v>
      </c>
      <c r="N20" s="92">
        <v>8000</v>
      </c>
      <c r="O20" s="92">
        <v>11000</v>
      </c>
      <c r="P20" s="92">
        <v>14000</v>
      </c>
      <c r="Q20" s="92">
        <v>14000</v>
      </c>
      <c r="R20" s="92">
        <v>5500</v>
      </c>
      <c r="S20" s="92">
        <v>6000</v>
      </c>
      <c r="T20" s="92">
        <v>11000</v>
      </c>
      <c r="U20" s="92">
        <v>27500</v>
      </c>
      <c r="V20" s="92">
        <v>11000</v>
      </c>
      <c r="W20" s="92">
        <v>6500</v>
      </c>
      <c r="X20" s="92">
        <v>15000</v>
      </c>
      <c r="Y20" s="92">
        <v>5500</v>
      </c>
      <c r="Z20" s="92">
        <v>6500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1F35-ACD4-479A-A09E-1324F738C92C}">
  <dimension ref="A1:Y20"/>
  <sheetViews>
    <sheetView zoomScale="70" zoomScaleNormal="70" workbookViewId="0">
      <pane xSplit="1" topLeftCell="B1" activePane="topRight" state="frozen"/>
      <selection activeCell="A6" sqref="A6"/>
      <selection pane="topRight" activeCell="G8" sqref="G8"/>
    </sheetView>
  </sheetViews>
  <sheetFormatPr defaultRowHeight="16.5" x14ac:dyDescent="0.3"/>
  <sheetData>
    <row r="1" spans="1:25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</row>
    <row r="2" spans="1:25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</row>
    <row r="3" spans="1:25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</row>
    <row r="4" spans="1:25" x14ac:dyDescent="0.3">
      <c r="A4" s="144"/>
      <c r="B4" s="146"/>
      <c r="C4" s="148"/>
      <c r="D4" s="150"/>
      <c r="E4" s="152"/>
      <c r="F4" s="69" t="s">
        <v>41</v>
      </c>
      <c r="G4" s="70">
        <v>609</v>
      </c>
      <c r="H4" s="70">
        <v>707</v>
      </c>
      <c r="I4" s="70">
        <v>1018</v>
      </c>
      <c r="J4" s="70">
        <v>1615</v>
      </c>
      <c r="K4" s="70">
        <v>825</v>
      </c>
      <c r="L4" s="70">
        <v>506</v>
      </c>
      <c r="M4" s="70">
        <v>1416</v>
      </c>
      <c r="N4" s="70">
        <v>1101</v>
      </c>
      <c r="O4" s="70">
        <v>826</v>
      </c>
      <c r="P4" s="70">
        <v>922</v>
      </c>
      <c r="Q4" s="70">
        <v>701</v>
      </c>
      <c r="R4" s="70">
        <v>1619</v>
      </c>
      <c r="S4" s="70">
        <v>818</v>
      </c>
      <c r="T4" s="70">
        <v>1628</v>
      </c>
      <c r="U4" s="70">
        <v>1124</v>
      </c>
      <c r="V4" s="70">
        <v>1202</v>
      </c>
      <c r="W4" s="70">
        <v>1529</v>
      </c>
      <c r="X4" s="70">
        <v>1224</v>
      </c>
      <c r="Y4" s="70">
        <v>1723</v>
      </c>
    </row>
    <row r="5" spans="1:25" ht="39.75" x14ac:dyDescent="0.3">
      <c r="A5" s="71" t="s">
        <v>42</v>
      </c>
      <c r="B5" s="72" t="s">
        <v>79</v>
      </c>
      <c r="C5" s="73"/>
      <c r="D5" s="74">
        <v>6000</v>
      </c>
      <c r="E5" s="75">
        <v>30000</v>
      </c>
      <c r="F5" s="76">
        <v>5</v>
      </c>
      <c r="G5" s="77"/>
      <c r="H5" s="77"/>
      <c r="I5" s="77"/>
      <c r="J5" s="77"/>
      <c r="K5" s="77"/>
      <c r="L5" s="131">
        <v>1</v>
      </c>
      <c r="M5" s="77"/>
      <c r="N5" s="106">
        <v>1</v>
      </c>
      <c r="O5" s="106">
        <v>1</v>
      </c>
      <c r="P5" s="77"/>
      <c r="Q5" s="77"/>
      <c r="R5" s="77"/>
      <c r="S5" s="106">
        <v>1</v>
      </c>
      <c r="T5" s="77"/>
      <c r="U5" s="77"/>
      <c r="V5" s="77"/>
      <c r="W5" s="77"/>
      <c r="X5" s="77">
        <v>1</v>
      </c>
      <c r="Y5" s="77"/>
    </row>
    <row r="6" spans="1:25" ht="39.75" x14ac:dyDescent="0.3">
      <c r="A6" s="78" t="s">
        <v>44</v>
      </c>
      <c r="B6" s="79" t="s">
        <v>66</v>
      </c>
      <c r="C6" s="80"/>
      <c r="D6" s="81">
        <v>6500</v>
      </c>
      <c r="E6" s="82">
        <v>13000</v>
      </c>
      <c r="F6" s="76">
        <v>2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104">
        <v>1</v>
      </c>
      <c r="W6" s="83">
        <v>1</v>
      </c>
      <c r="X6" s="83"/>
      <c r="Y6" s="83"/>
    </row>
    <row r="7" spans="1:25" ht="39.75" x14ac:dyDescent="0.3">
      <c r="A7" s="78" t="s">
        <v>46</v>
      </c>
      <c r="B7" s="79" t="s">
        <v>76</v>
      </c>
      <c r="C7" s="80" t="s">
        <v>82</v>
      </c>
      <c r="D7" s="81">
        <v>7000</v>
      </c>
      <c r="E7" s="82">
        <v>7000</v>
      </c>
      <c r="F7" s="76">
        <v>1</v>
      </c>
      <c r="G7" s="83"/>
      <c r="H7" s="107">
        <v>1</v>
      </c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 spans="1:25" ht="26.25" x14ac:dyDescent="0.3">
      <c r="A8" s="78" t="s">
        <v>48</v>
      </c>
      <c r="B8" s="79" t="s">
        <v>69</v>
      </c>
      <c r="C8" s="80"/>
      <c r="D8" s="81">
        <v>5500</v>
      </c>
      <c r="E8" s="82">
        <v>33000</v>
      </c>
      <c r="F8" s="76">
        <v>6</v>
      </c>
      <c r="G8" s="104">
        <v>1</v>
      </c>
      <c r="H8" s="83"/>
      <c r="I8" s="103">
        <v>1</v>
      </c>
      <c r="J8" s="103">
        <v>1</v>
      </c>
      <c r="K8" s="104">
        <v>1</v>
      </c>
      <c r="L8" s="83"/>
      <c r="M8" s="83"/>
      <c r="N8" s="83"/>
      <c r="O8" s="83"/>
      <c r="P8" s="104">
        <v>1</v>
      </c>
      <c r="Q8" s="83"/>
      <c r="R8" s="83"/>
      <c r="S8" s="104">
        <v>1</v>
      </c>
      <c r="T8" s="83"/>
      <c r="U8" s="83"/>
      <c r="V8" s="83"/>
      <c r="W8" s="83"/>
      <c r="X8" s="83"/>
      <c r="Y8" s="83"/>
    </row>
    <row r="9" spans="1:25" ht="26.25" x14ac:dyDescent="0.3">
      <c r="A9" s="78" t="s">
        <v>50</v>
      </c>
      <c r="B9" s="79" t="s">
        <v>81</v>
      </c>
      <c r="C9" s="80"/>
      <c r="D9" s="81">
        <v>4000</v>
      </c>
      <c r="E9" s="82">
        <v>8000</v>
      </c>
      <c r="F9" s="76">
        <v>2</v>
      </c>
      <c r="G9" s="83"/>
      <c r="H9" s="83"/>
      <c r="I9" s="103">
        <v>1</v>
      </c>
      <c r="J9" s="83"/>
      <c r="K9" s="83"/>
      <c r="L9" s="83"/>
      <c r="M9" s="83"/>
      <c r="N9" s="83"/>
      <c r="O9" s="83"/>
      <c r="P9" s="83"/>
      <c r="Q9" s="83"/>
      <c r="R9" s="83"/>
      <c r="S9" s="83"/>
      <c r="T9" s="104">
        <v>1</v>
      </c>
      <c r="U9" s="83"/>
      <c r="V9" s="83"/>
      <c r="W9" s="83"/>
      <c r="X9" s="83"/>
      <c r="Y9" s="83"/>
    </row>
    <row r="10" spans="1:25" ht="27" x14ac:dyDescent="0.3">
      <c r="A10" s="78" t="s">
        <v>52</v>
      </c>
      <c r="B10" s="79" t="s">
        <v>71</v>
      </c>
      <c r="C10" s="80" t="s">
        <v>83</v>
      </c>
      <c r="D10" s="81">
        <v>4000</v>
      </c>
      <c r="E10" s="82">
        <v>16000</v>
      </c>
      <c r="F10" s="76">
        <v>4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104">
        <v>1</v>
      </c>
      <c r="R10" s="104">
        <v>1</v>
      </c>
      <c r="S10" s="83"/>
      <c r="T10" s="83"/>
      <c r="U10" s="104">
        <v>1</v>
      </c>
      <c r="V10" s="83"/>
      <c r="W10" s="83"/>
      <c r="X10" s="83">
        <v>1</v>
      </c>
      <c r="Y10" s="83"/>
    </row>
    <row r="11" spans="1:25" ht="39" x14ac:dyDescent="0.3">
      <c r="A11" s="78" t="s">
        <v>54</v>
      </c>
      <c r="B11" s="79" t="s">
        <v>72</v>
      </c>
      <c r="C11" s="80" t="s">
        <v>84</v>
      </c>
      <c r="D11" s="81">
        <v>4000</v>
      </c>
      <c r="E11" s="82">
        <v>8000</v>
      </c>
      <c r="F11" s="76">
        <v>2</v>
      </c>
      <c r="G11" s="83"/>
      <c r="H11" s="83"/>
      <c r="I11" s="103">
        <v>1</v>
      </c>
      <c r="J11" s="83"/>
      <c r="K11" s="83"/>
      <c r="L11" s="83"/>
      <c r="M11" s="132">
        <v>1</v>
      </c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 spans="1:25" ht="26.25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 spans="1:25" ht="39" x14ac:dyDescent="0.3">
      <c r="A13" s="78" t="s">
        <v>57</v>
      </c>
      <c r="B13" s="79" t="s">
        <v>65</v>
      </c>
      <c r="C13" s="80" t="s">
        <v>77</v>
      </c>
      <c r="D13" s="81">
        <v>7000</v>
      </c>
      <c r="E13" s="82">
        <v>7000</v>
      </c>
      <c r="F13" s="76">
        <v>1</v>
      </c>
      <c r="G13" s="83"/>
      <c r="H13" s="83"/>
      <c r="I13" s="83"/>
      <c r="J13" s="83"/>
      <c r="K13" s="83"/>
      <c r="L13" s="132">
        <v>1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</row>
    <row r="14" spans="1:25" ht="26.25" x14ac:dyDescent="0.3">
      <c r="A14" s="78" t="s">
        <v>58</v>
      </c>
      <c r="B14" s="79" t="s">
        <v>77</v>
      </c>
      <c r="C14" s="80" t="s">
        <v>85</v>
      </c>
      <c r="D14" s="81">
        <v>7000</v>
      </c>
      <c r="E14" s="82">
        <v>28000</v>
      </c>
      <c r="F14" s="76">
        <v>4</v>
      </c>
      <c r="G14" s="83"/>
      <c r="H14" s="83"/>
      <c r="I14" s="103">
        <v>1</v>
      </c>
      <c r="J14" s="83"/>
      <c r="K14" s="83"/>
      <c r="L14" s="132">
        <v>1</v>
      </c>
      <c r="M14" s="83"/>
      <c r="N14" s="83"/>
      <c r="O14" s="83"/>
      <c r="P14" s="83"/>
      <c r="Q14" s="83"/>
      <c r="R14" s="83"/>
      <c r="S14" s="104">
        <v>1</v>
      </c>
      <c r="T14" s="83"/>
      <c r="U14" s="83"/>
      <c r="V14" s="83"/>
      <c r="W14" s="83"/>
      <c r="X14" s="83"/>
      <c r="Y14" s="83">
        <v>1</v>
      </c>
    </row>
    <row r="15" spans="1:25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spans="1:25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spans="1:25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 spans="1:25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spans="1:25" x14ac:dyDescent="0.3">
      <c r="A19" s="153" t="s">
        <v>64</v>
      </c>
      <c r="B19" s="154"/>
      <c r="C19" s="155"/>
      <c r="D19" s="159">
        <v>61500</v>
      </c>
      <c r="E19" s="141">
        <v>150000</v>
      </c>
      <c r="F19" s="141">
        <v>27</v>
      </c>
      <c r="G19" s="90">
        <v>1</v>
      </c>
      <c r="H19" s="90">
        <v>1</v>
      </c>
      <c r="I19" s="90">
        <v>4</v>
      </c>
      <c r="J19" s="90">
        <v>1</v>
      </c>
      <c r="K19" s="90">
        <v>1</v>
      </c>
      <c r="L19" s="90">
        <v>3</v>
      </c>
      <c r="M19" s="90">
        <v>1</v>
      </c>
      <c r="N19" s="90">
        <v>1</v>
      </c>
      <c r="O19" s="90">
        <v>1</v>
      </c>
      <c r="P19" s="90">
        <v>1</v>
      </c>
      <c r="Q19" s="90">
        <v>1</v>
      </c>
      <c r="R19" s="90">
        <v>1</v>
      </c>
      <c r="S19" s="90">
        <v>3</v>
      </c>
      <c r="T19" s="90">
        <v>1</v>
      </c>
      <c r="U19" s="90">
        <v>1</v>
      </c>
      <c r="V19" s="90">
        <v>1</v>
      </c>
      <c r="W19" s="90">
        <v>1</v>
      </c>
      <c r="X19" s="90">
        <v>2</v>
      </c>
      <c r="Y19" s="90">
        <v>1</v>
      </c>
    </row>
    <row r="20" spans="1:25" x14ac:dyDescent="0.3">
      <c r="A20" s="156"/>
      <c r="B20" s="157"/>
      <c r="C20" s="158"/>
      <c r="D20" s="160"/>
      <c r="E20" s="142"/>
      <c r="F20" s="142"/>
      <c r="G20" s="91">
        <v>5500</v>
      </c>
      <c r="H20" s="92">
        <v>7000</v>
      </c>
      <c r="I20" s="92">
        <v>20500</v>
      </c>
      <c r="J20" s="92">
        <v>5500</v>
      </c>
      <c r="K20" s="92">
        <v>5500</v>
      </c>
      <c r="L20" s="92">
        <v>20000</v>
      </c>
      <c r="M20" s="92">
        <v>4000</v>
      </c>
      <c r="N20" s="92">
        <v>6000</v>
      </c>
      <c r="O20" s="92">
        <v>6000</v>
      </c>
      <c r="P20" s="92">
        <v>5500</v>
      </c>
      <c r="Q20" s="92">
        <v>4000</v>
      </c>
      <c r="R20" s="92">
        <v>4000</v>
      </c>
      <c r="S20" s="92">
        <v>18500</v>
      </c>
      <c r="T20" s="92">
        <v>4000</v>
      </c>
      <c r="U20" s="92">
        <v>4000</v>
      </c>
      <c r="V20" s="92">
        <v>6500</v>
      </c>
      <c r="W20" s="92">
        <v>6500</v>
      </c>
      <c r="X20" s="92">
        <v>10000</v>
      </c>
      <c r="Y20" s="92">
        <v>7000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61D0-659F-480D-AF0F-0E7EF65D42E3}">
  <dimension ref="A1:AA20"/>
  <sheetViews>
    <sheetView topLeftCell="L1" workbookViewId="0">
      <selection activeCell="V15" sqref="V15"/>
    </sheetView>
  </sheetViews>
  <sheetFormatPr defaultRowHeight="16.5" x14ac:dyDescent="0.3"/>
  <sheetData>
    <row r="1" spans="1:27" ht="20.25" x14ac:dyDescent="0.2">
      <c r="A1" s="180" t="s">
        <v>34</v>
      </c>
      <c r="B1" s="180"/>
      <c r="C1" s="180"/>
      <c r="D1" s="180"/>
      <c r="E1" s="180"/>
      <c r="F1" s="180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4"/>
      <c r="X1" s="64"/>
      <c r="Y1" s="64"/>
      <c r="Z1" s="64"/>
      <c r="AA1" s="64"/>
    </row>
    <row r="2" spans="1:27" x14ac:dyDescent="0.2">
      <c r="A2" s="64"/>
      <c r="B2" s="64"/>
      <c r="C2" s="64"/>
      <c r="D2" s="64"/>
      <c r="E2" s="64"/>
      <c r="F2" s="65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4"/>
      <c r="X2" s="64"/>
      <c r="Y2" s="64"/>
      <c r="Z2" s="64"/>
      <c r="AA2" s="64"/>
    </row>
    <row r="3" spans="1:27" x14ac:dyDescent="0.3">
      <c r="A3" s="143" t="s">
        <v>35</v>
      </c>
      <c r="B3" s="145" t="s">
        <v>36</v>
      </c>
      <c r="C3" s="147" t="s">
        <v>37</v>
      </c>
      <c r="D3" s="149" t="s">
        <v>38</v>
      </c>
      <c r="E3" s="151" t="s">
        <v>39</v>
      </c>
      <c r="F3" s="66" t="s">
        <v>40</v>
      </c>
      <c r="G3" s="67">
        <v>1</v>
      </c>
      <c r="H3" s="68">
        <v>2</v>
      </c>
      <c r="I3" s="68">
        <v>3</v>
      </c>
      <c r="J3" s="68">
        <v>4</v>
      </c>
      <c r="K3" s="68">
        <v>5</v>
      </c>
      <c r="L3" s="68">
        <v>6</v>
      </c>
      <c r="M3" s="68">
        <v>7</v>
      </c>
      <c r="N3" s="68">
        <v>8</v>
      </c>
      <c r="O3" s="68">
        <v>9</v>
      </c>
      <c r="P3" s="68">
        <v>10</v>
      </c>
      <c r="Q3" s="68">
        <v>11</v>
      </c>
      <c r="R3" s="68">
        <v>12</v>
      </c>
      <c r="S3" s="68">
        <v>13</v>
      </c>
      <c r="T3" s="68">
        <v>14</v>
      </c>
      <c r="U3" s="68">
        <v>15</v>
      </c>
      <c r="V3" s="68">
        <v>16</v>
      </c>
      <c r="W3" s="68">
        <v>17</v>
      </c>
      <c r="X3" s="67">
        <v>18</v>
      </c>
      <c r="Y3" s="68">
        <v>19</v>
      </c>
      <c r="Z3" s="68">
        <v>20</v>
      </c>
      <c r="AA3" s="68">
        <v>21</v>
      </c>
    </row>
    <row r="4" spans="1:27" x14ac:dyDescent="0.3">
      <c r="A4" s="144"/>
      <c r="B4" s="146"/>
      <c r="C4" s="148"/>
      <c r="D4" s="150"/>
      <c r="E4" s="152"/>
      <c r="F4" s="69" t="s">
        <v>41</v>
      </c>
      <c r="G4" s="70">
        <v>1502</v>
      </c>
      <c r="H4" s="70">
        <v>1103</v>
      </c>
      <c r="I4" s="70">
        <v>609</v>
      </c>
      <c r="J4" s="70">
        <v>818</v>
      </c>
      <c r="K4" s="70">
        <v>1114</v>
      </c>
      <c r="L4" s="70">
        <v>1220</v>
      </c>
      <c r="M4" s="70">
        <v>1720</v>
      </c>
      <c r="N4" s="70">
        <v>1224</v>
      </c>
      <c r="O4" s="70">
        <v>1215</v>
      </c>
      <c r="P4" s="70">
        <v>623</v>
      </c>
      <c r="Q4" s="70">
        <v>624</v>
      </c>
      <c r="R4" s="70">
        <v>1717</v>
      </c>
      <c r="S4" s="70">
        <v>721</v>
      </c>
      <c r="T4" s="70">
        <v>1806</v>
      </c>
      <c r="U4" s="70">
        <v>620</v>
      </c>
      <c r="V4" s="70">
        <v>1231</v>
      </c>
      <c r="W4" s="70">
        <v>622</v>
      </c>
      <c r="X4" s="70">
        <v>618</v>
      </c>
      <c r="Y4" s="70">
        <v>1019</v>
      </c>
      <c r="Z4" s="70">
        <v>1120</v>
      </c>
      <c r="AA4" s="70">
        <v>1005</v>
      </c>
    </row>
    <row r="5" spans="1:27" ht="39.75" x14ac:dyDescent="0.3">
      <c r="A5" s="71" t="s">
        <v>42</v>
      </c>
      <c r="B5" s="72" t="s">
        <v>79</v>
      </c>
      <c r="C5" s="73"/>
      <c r="D5" s="74">
        <v>6000</v>
      </c>
      <c r="E5" s="75">
        <v>12000</v>
      </c>
      <c r="F5" s="76">
        <v>2</v>
      </c>
      <c r="G5" s="77"/>
      <c r="H5" s="77"/>
      <c r="I5" s="77"/>
      <c r="J5" s="77"/>
      <c r="K5" s="77"/>
      <c r="L5" s="77"/>
      <c r="M5" s="77"/>
      <c r="N5" s="77"/>
      <c r="O5" s="94">
        <v>1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94">
        <v>1</v>
      </c>
    </row>
    <row r="6" spans="1:27" ht="39.75" x14ac:dyDescent="0.3">
      <c r="A6" s="78" t="s">
        <v>44</v>
      </c>
      <c r="B6" s="79" t="s">
        <v>66</v>
      </c>
      <c r="C6" s="80"/>
      <c r="D6" s="81">
        <v>6500</v>
      </c>
      <c r="E6" s="82">
        <v>32500</v>
      </c>
      <c r="F6" s="76">
        <v>5</v>
      </c>
      <c r="G6" s="83"/>
      <c r="H6" s="83"/>
      <c r="I6" s="83"/>
      <c r="J6" s="83"/>
      <c r="K6" s="93">
        <v>1</v>
      </c>
      <c r="L6" s="93">
        <v>1</v>
      </c>
      <c r="M6" s="83"/>
      <c r="N6" s="93">
        <v>1</v>
      </c>
      <c r="O6" s="93">
        <v>1</v>
      </c>
      <c r="P6" s="83"/>
      <c r="Q6" s="83"/>
      <c r="R6" s="83"/>
      <c r="S6" s="83"/>
      <c r="T6" s="83"/>
      <c r="U6" s="83"/>
      <c r="V6" s="83"/>
      <c r="W6" s="83"/>
      <c r="X6" s="95">
        <v>1</v>
      </c>
      <c r="Y6" s="83"/>
      <c r="Z6" s="83"/>
      <c r="AA6" s="83"/>
    </row>
    <row r="7" spans="1:27" ht="39.75" x14ac:dyDescent="0.3">
      <c r="A7" s="78" t="s">
        <v>46</v>
      </c>
      <c r="B7" s="79" t="s">
        <v>76</v>
      </c>
      <c r="C7" s="80" t="s">
        <v>82</v>
      </c>
      <c r="D7" s="81">
        <v>7000</v>
      </c>
      <c r="E7" s="82">
        <v>7000</v>
      </c>
      <c r="F7" s="76">
        <v>1</v>
      </c>
      <c r="G7" s="83"/>
      <c r="H7" s="83"/>
      <c r="I7" s="83"/>
      <c r="J7" s="83"/>
      <c r="K7" s="83"/>
      <c r="L7" s="83"/>
      <c r="M7" s="83"/>
      <c r="N7" s="83"/>
      <c r="O7" s="93">
        <v>1</v>
      </c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</row>
    <row r="8" spans="1:27" ht="26.25" x14ac:dyDescent="0.3">
      <c r="A8" s="78" t="s">
        <v>48</v>
      </c>
      <c r="B8" s="79" t="s">
        <v>69</v>
      </c>
      <c r="C8" s="80"/>
      <c r="D8" s="81">
        <v>5500</v>
      </c>
      <c r="E8" s="82">
        <v>60500</v>
      </c>
      <c r="F8" s="76">
        <v>11</v>
      </c>
      <c r="G8" s="83"/>
      <c r="H8" s="93">
        <v>1</v>
      </c>
      <c r="I8" s="95">
        <v>1</v>
      </c>
      <c r="J8" s="83"/>
      <c r="K8" s="93">
        <v>1</v>
      </c>
      <c r="L8" s="93">
        <v>1</v>
      </c>
      <c r="M8" s="83"/>
      <c r="N8" s="83"/>
      <c r="O8" s="83"/>
      <c r="P8" s="93">
        <v>1</v>
      </c>
      <c r="Q8" s="83"/>
      <c r="R8" s="83"/>
      <c r="S8" s="93">
        <v>1</v>
      </c>
      <c r="T8" s="83"/>
      <c r="U8" s="83"/>
      <c r="V8" s="93">
        <v>2</v>
      </c>
      <c r="W8" s="96">
        <v>1</v>
      </c>
      <c r="X8" s="83"/>
      <c r="Y8" s="96">
        <v>1</v>
      </c>
      <c r="Z8" s="93">
        <v>1</v>
      </c>
      <c r="AA8" s="83"/>
    </row>
    <row r="9" spans="1:27" ht="26.25" x14ac:dyDescent="0.3">
      <c r="A9" s="78" t="s">
        <v>50</v>
      </c>
      <c r="B9" s="79" t="s">
        <v>81</v>
      </c>
      <c r="C9" s="80"/>
      <c r="D9" s="81">
        <v>4000</v>
      </c>
      <c r="E9" s="82">
        <v>4000</v>
      </c>
      <c r="F9" s="76">
        <v>1</v>
      </c>
      <c r="G9" s="83"/>
      <c r="H9" s="83"/>
      <c r="I9" s="83"/>
      <c r="J9" s="83"/>
      <c r="K9" s="93">
        <v>1</v>
      </c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</row>
    <row r="10" spans="1:27" ht="27" x14ac:dyDescent="0.3">
      <c r="A10" s="78" t="s">
        <v>52</v>
      </c>
      <c r="B10" s="79" t="s">
        <v>71</v>
      </c>
      <c r="C10" s="80" t="s">
        <v>83</v>
      </c>
      <c r="D10" s="81">
        <v>4000</v>
      </c>
      <c r="E10" s="82">
        <v>16000</v>
      </c>
      <c r="F10" s="76">
        <v>4</v>
      </c>
      <c r="G10" s="96">
        <v>1</v>
      </c>
      <c r="H10" s="83"/>
      <c r="I10" s="83"/>
      <c r="J10" s="83"/>
      <c r="K10" s="83"/>
      <c r="L10" s="93">
        <v>1</v>
      </c>
      <c r="M10" s="83"/>
      <c r="N10" s="83"/>
      <c r="O10" s="83"/>
      <c r="P10" s="83"/>
      <c r="Q10" s="83"/>
      <c r="R10" s="93">
        <v>1</v>
      </c>
      <c r="S10" s="83"/>
      <c r="T10" s="83"/>
      <c r="U10" s="83"/>
      <c r="V10" s="83"/>
      <c r="W10" s="96">
        <v>1</v>
      </c>
      <c r="X10" s="83"/>
      <c r="Y10" s="83"/>
      <c r="Z10" s="83"/>
      <c r="AA10" s="83"/>
    </row>
    <row r="11" spans="1:27" ht="39" x14ac:dyDescent="0.3">
      <c r="A11" s="78" t="s">
        <v>54</v>
      </c>
      <c r="B11" s="79" t="s">
        <v>72</v>
      </c>
      <c r="C11" s="80" t="s">
        <v>84</v>
      </c>
      <c r="D11" s="81">
        <v>4000</v>
      </c>
      <c r="E11" s="82">
        <v>8000</v>
      </c>
      <c r="F11" s="76">
        <v>2</v>
      </c>
      <c r="G11" s="83"/>
      <c r="H11" s="83"/>
      <c r="I11" s="83"/>
      <c r="J11" s="83"/>
      <c r="K11" s="83"/>
      <c r="L11" s="83"/>
      <c r="M11" s="96">
        <v>1</v>
      </c>
      <c r="N11" s="83"/>
      <c r="O11" s="83"/>
      <c r="P11" s="83"/>
      <c r="Q11" s="83"/>
      <c r="R11" s="83"/>
      <c r="S11" s="83"/>
      <c r="T11" s="83"/>
      <c r="U11" s="96">
        <v>1</v>
      </c>
      <c r="V11" s="83"/>
      <c r="W11" s="83"/>
      <c r="X11" s="83"/>
      <c r="Y11" s="83"/>
      <c r="Z11" s="83"/>
      <c r="AA11" s="83"/>
    </row>
    <row r="12" spans="1:27" ht="26.25" x14ac:dyDescent="0.3">
      <c r="A12" s="78" t="s">
        <v>56</v>
      </c>
      <c r="B12" s="79" t="s">
        <v>71</v>
      </c>
      <c r="C12" s="80"/>
      <c r="D12" s="81">
        <v>5000</v>
      </c>
      <c r="E12" s="82">
        <v>0</v>
      </c>
      <c r="F12" s="76">
        <v>0</v>
      </c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</row>
    <row r="13" spans="1:27" ht="39" x14ac:dyDescent="0.3">
      <c r="A13" s="78" t="s">
        <v>57</v>
      </c>
      <c r="B13" s="79" t="s">
        <v>65</v>
      </c>
      <c r="C13" s="80" t="s">
        <v>77</v>
      </c>
      <c r="D13" s="81">
        <v>7000</v>
      </c>
      <c r="E13" s="82">
        <v>21000</v>
      </c>
      <c r="F13" s="76">
        <v>3</v>
      </c>
      <c r="G13" s="83"/>
      <c r="H13" s="83"/>
      <c r="I13" s="83"/>
      <c r="J13" s="83"/>
      <c r="K13" s="83"/>
      <c r="L13" s="83"/>
      <c r="M13" s="96">
        <v>1</v>
      </c>
      <c r="N13" s="83"/>
      <c r="O13" s="83"/>
      <c r="P13" s="83"/>
      <c r="Q13" s="93">
        <v>1</v>
      </c>
      <c r="R13" s="83"/>
      <c r="S13" s="83"/>
      <c r="T13" s="96">
        <v>1</v>
      </c>
      <c r="U13" s="83"/>
      <c r="V13" s="83"/>
      <c r="W13" s="83"/>
      <c r="X13" s="83"/>
      <c r="Y13" s="83"/>
      <c r="Z13" s="83"/>
      <c r="AA13" s="83"/>
    </row>
    <row r="14" spans="1:27" ht="26.25" x14ac:dyDescent="0.3">
      <c r="A14" s="78" t="s">
        <v>58</v>
      </c>
      <c r="B14" s="79" t="s">
        <v>77</v>
      </c>
      <c r="C14" s="80" t="s">
        <v>85</v>
      </c>
      <c r="D14" s="81">
        <v>7000</v>
      </c>
      <c r="E14" s="82">
        <v>14000</v>
      </c>
      <c r="F14" s="76">
        <v>2</v>
      </c>
      <c r="G14" s="83"/>
      <c r="H14" s="83"/>
      <c r="I14" s="83"/>
      <c r="J14" s="96">
        <v>1</v>
      </c>
      <c r="K14" s="83"/>
      <c r="L14" s="83"/>
      <c r="M14" s="96">
        <v>1</v>
      </c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</row>
    <row r="15" spans="1:27" ht="26.25" x14ac:dyDescent="0.3">
      <c r="A15" s="78" t="s">
        <v>60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 spans="1:27" ht="40.5" x14ac:dyDescent="0.3">
      <c r="A16" s="78" t="s">
        <v>61</v>
      </c>
      <c r="B16" s="79"/>
      <c r="C16" s="80"/>
      <c r="D16" s="81">
        <v>7000</v>
      </c>
      <c r="E16" s="82">
        <v>0</v>
      </c>
      <c r="F16" s="76">
        <v>0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</row>
    <row r="17" spans="1:27" ht="39.75" x14ac:dyDescent="0.3">
      <c r="A17" s="78" t="s">
        <v>62</v>
      </c>
      <c r="B17" s="79"/>
      <c r="C17" s="80"/>
      <c r="D17" s="81">
        <v>7000</v>
      </c>
      <c r="E17" s="82">
        <v>0</v>
      </c>
      <c r="F17" s="76">
        <v>0</v>
      </c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</row>
    <row r="18" spans="1:27" ht="27" x14ac:dyDescent="0.3">
      <c r="A18" s="85" t="s">
        <v>63</v>
      </c>
      <c r="B18" s="86"/>
      <c r="C18" s="87"/>
      <c r="D18" s="88">
        <v>7000</v>
      </c>
      <c r="E18" s="89">
        <v>0</v>
      </c>
      <c r="F18" s="76">
        <v>0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</row>
    <row r="19" spans="1:27" x14ac:dyDescent="0.3">
      <c r="A19" s="153" t="s">
        <v>64</v>
      </c>
      <c r="B19" s="154"/>
      <c r="C19" s="155"/>
      <c r="D19" s="159">
        <v>61500</v>
      </c>
      <c r="E19" s="141">
        <v>175000</v>
      </c>
      <c r="F19" s="141">
        <v>31</v>
      </c>
      <c r="G19" s="90">
        <v>1</v>
      </c>
      <c r="H19" s="90">
        <v>1</v>
      </c>
      <c r="I19" s="90">
        <v>1</v>
      </c>
      <c r="J19" s="90">
        <v>1</v>
      </c>
      <c r="K19" s="90">
        <v>3</v>
      </c>
      <c r="L19" s="90">
        <v>3</v>
      </c>
      <c r="M19" s="90">
        <v>3</v>
      </c>
      <c r="N19" s="90">
        <v>1</v>
      </c>
      <c r="O19" s="90">
        <v>3</v>
      </c>
      <c r="P19" s="90">
        <v>1</v>
      </c>
      <c r="Q19" s="90">
        <v>1</v>
      </c>
      <c r="R19" s="90">
        <v>1</v>
      </c>
      <c r="S19" s="90">
        <v>1</v>
      </c>
      <c r="T19" s="90">
        <v>1</v>
      </c>
      <c r="U19" s="90">
        <v>1</v>
      </c>
      <c r="V19" s="90">
        <v>2</v>
      </c>
      <c r="W19" s="90">
        <v>2</v>
      </c>
      <c r="X19" s="90">
        <v>1</v>
      </c>
      <c r="Y19" s="90">
        <v>1</v>
      </c>
      <c r="Z19" s="90">
        <v>1</v>
      </c>
      <c r="AA19" s="90">
        <v>1</v>
      </c>
    </row>
    <row r="20" spans="1:27" x14ac:dyDescent="0.3">
      <c r="A20" s="156"/>
      <c r="B20" s="157"/>
      <c r="C20" s="158"/>
      <c r="D20" s="160"/>
      <c r="E20" s="142"/>
      <c r="F20" s="142"/>
      <c r="G20" s="91">
        <v>4000</v>
      </c>
      <c r="H20" s="92">
        <v>5500</v>
      </c>
      <c r="I20" s="92">
        <v>5500</v>
      </c>
      <c r="J20" s="92">
        <v>7000</v>
      </c>
      <c r="K20" s="92">
        <v>16000</v>
      </c>
      <c r="L20" s="92">
        <v>16000</v>
      </c>
      <c r="M20" s="92">
        <v>18000</v>
      </c>
      <c r="N20" s="92">
        <v>6500</v>
      </c>
      <c r="O20" s="92">
        <v>19500</v>
      </c>
      <c r="P20" s="92">
        <v>5500</v>
      </c>
      <c r="Q20" s="92">
        <v>7000</v>
      </c>
      <c r="R20" s="92">
        <v>4000</v>
      </c>
      <c r="S20" s="92">
        <v>5500</v>
      </c>
      <c r="T20" s="92">
        <v>7000</v>
      </c>
      <c r="U20" s="92">
        <v>4000</v>
      </c>
      <c r="V20" s="92">
        <v>11000</v>
      </c>
      <c r="W20" s="92">
        <v>9500</v>
      </c>
      <c r="X20" s="92">
        <v>6500</v>
      </c>
      <c r="Y20" s="92">
        <v>5500</v>
      </c>
      <c r="Z20" s="92">
        <v>5500</v>
      </c>
      <c r="AA20" s="92">
        <v>6000</v>
      </c>
    </row>
  </sheetData>
  <mergeCells count="10">
    <mergeCell ref="A19:C20"/>
    <mergeCell ref="D19:D20"/>
    <mergeCell ref="E19:E20"/>
    <mergeCell ref="F19:F20"/>
    <mergeCell ref="A1:F1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6E5D-7633-4865-8F6A-A9E6DF576268}">
  <dimension ref="A2:AI19"/>
  <sheetViews>
    <sheetView zoomScale="70" zoomScaleNormal="70" workbookViewId="0">
      <pane xSplit="1" topLeftCell="C1" activePane="topRight" state="frozen"/>
      <selection pane="topRight" activeCell="P11" sqref="P11"/>
    </sheetView>
  </sheetViews>
  <sheetFormatPr defaultRowHeight="16.5" x14ac:dyDescent="0.3"/>
  <sheetData>
    <row r="2" spans="1:35" x14ac:dyDescent="0.3">
      <c r="A2" s="143" t="s">
        <v>35</v>
      </c>
      <c r="B2" s="145" t="s">
        <v>36</v>
      </c>
      <c r="C2" s="147" t="s">
        <v>37</v>
      </c>
      <c r="D2" s="149" t="s">
        <v>38</v>
      </c>
      <c r="E2" s="151" t="s">
        <v>39</v>
      </c>
      <c r="F2" s="66" t="s">
        <v>40</v>
      </c>
      <c r="G2" s="67">
        <v>1</v>
      </c>
      <c r="H2" s="68">
        <v>2</v>
      </c>
      <c r="I2" s="68">
        <v>3</v>
      </c>
      <c r="J2" s="68">
        <v>4</v>
      </c>
      <c r="K2" s="68">
        <v>5</v>
      </c>
      <c r="L2" s="68">
        <v>6</v>
      </c>
      <c r="M2" s="68">
        <v>7</v>
      </c>
      <c r="N2" s="68">
        <v>8</v>
      </c>
      <c r="O2" s="68">
        <v>9</v>
      </c>
      <c r="P2" s="68">
        <v>10</v>
      </c>
      <c r="Q2" s="68">
        <v>11</v>
      </c>
      <c r="R2" s="68">
        <v>12</v>
      </c>
      <c r="S2" s="68">
        <v>13</v>
      </c>
      <c r="T2" s="68">
        <v>14</v>
      </c>
      <c r="U2" s="68">
        <v>15</v>
      </c>
      <c r="V2" s="68">
        <v>16</v>
      </c>
      <c r="W2" s="68">
        <v>17</v>
      </c>
      <c r="X2" s="67">
        <v>18</v>
      </c>
      <c r="Y2" s="68">
        <v>19</v>
      </c>
      <c r="Z2" s="68">
        <v>20</v>
      </c>
      <c r="AA2" s="68">
        <v>21</v>
      </c>
      <c r="AB2" s="68">
        <v>22</v>
      </c>
      <c r="AC2" s="68">
        <v>23</v>
      </c>
      <c r="AD2" s="68">
        <v>24</v>
      </c>
      <c r="AE2" s="68">
        <v>25</v>
      </c>
      <c r="AF2" s="68">
        <v>26</v>
      </c>
      <c r="AG2" s="68">
        <v>27</v>
      </c>
      <c r="AH2" s="68">
        <v>28</v>
      </c>
      <c r="AI2" s="68">
        <v>29</v>
      </c>
    </row>
    <row r="3" spans="1:35" x14ac:dyDescent="0.3">
      <c r="A3" s="144"/>
      <c r="B3" s="146"/>
      <c r="C3" s="148"/>
      <c r="D3" s="150"/>
      <c r="E3" s="152"/>
      <c r="F3" s="69" t="s">
        <v>41</v>
      </c>
      <c r="G3" s="70">
        <v>1006</v>
      </c>
      <c r="H3" s="70">
        <v>1125</v>
      </c>
      <c r="I3" s="70">
        <v>1430</v>
      </c>
      <c r="J3" s="70">
        <v>1220</v>
      </c>
      <c r="K3" s="70">
        <v>712</v>
      </c>
      <c r="L3" s="70">
        <v>1101</v>
      </c>
      <c r="M3" s="70">
        <v>1725</v>
      </c>
      <c r="N3" s="70">
        <v>1430</v>
      </c>
      <c r="O3" s="70">
        <v>631</v>
      </c>
      <c r="P3" s="70">
        <v>1114</v>
      </c>
      <c r="Q3" s="70">
        <v>617</v>
      </c>
      <c r="R3" s="70">
        <v>916</v>
      </c>
      <c r="S3" s="70">
        <v>1103</v>
      </c>
      <c r="T3" s="70">
        <v>1418</v>
      </c>
      <c r="U3" s="70">
        <v>826</v>
      </c>
      <c r="V3" s="70">
        <v>825</v>
      </c>
      <c r="W3" s="70">
        <v>1520</v>
      </c>
      <c r="X3" s="70">
        <v>1427</v>
      </c>
      <c r="Y3" s="70">
        <v>622</v>
      </c>
      <c r="Z3" s="70">
        <v>1017</v>
      </c>
      <c r="AA3" s="70">
        <v>1420</v>
      </c>
      <c r="AB3" s="70">
        <v>1206</v>
      </c>
      <c r="AC3" s="70">
        <v>1231</v>
      </c>
      <c r="AD3" s="70">
        <v>1705</v>
      </c>
      <c r="AE3" s="70">
        <v>605</v>
      </c>
      <c r="AF3" s="70">
        <v>1219</v>
      </c>
      <c r="AG3" s="70">
        <v>717</v>
      </c>
      <c r="AH3" s="70">
        <v>1431</v>
      </c>
      <c r="AI3" s="70">
        <v>922</v>
      </c>
    </row>
    <row r="4" spans="1:35" ht="39.75" x14ac:dyDescent="0.3">
      <c r="A4" s="71" t="s">
        <v>42</v>
      </c>
      <c r="B4" s="72" t="s">
        <v>79</v>
      </c>
      <c r="C4" s="73"/>
      <c r="D4" s="74">
        <v>6000</v>
      </c>
      <c r="E4" s="75">
        <v>42000</v>
      </c>
      <c r="F4" s="76">
        <v>7</v>
      </c>
      <c r="G4" s="77"/>
      <c r="H4" s="77"/>
      <c r="I4" s="77"/>
      <c r="J4" s="77"/>
      <c r="K4" s="77"/>
      <c r="L4" s="77"/>
      <c r="M4" s="77"/>
      <c r="N4" s="106">
        <v>1</v>
      </c>
      <c r="O4" s="77"/>
      <c r="P4" s="106">
        <v>1</v>
      </c>
      <c r="Q4" s="77"/>
      <c r="R4" s="77"/>
      <c r="S4" s="77"/>
      <c r="T4" s="106">
        <v>1</v>
      </c>
      <c r="U4" s="77"/>
      <c r="V4" s="77"/>
      <c r="W4" s="77"/>
      <c r="X4" s="105">
        <v>1</v>
      </c>
      <c r="Y4" s="77"/>
      <c r="Z4" s="106">
        <v>1</v>
      </c>
      <c r="AA4" s="77"/>
      <c r="AB4" s="77"/>
      <c r="AC4" s="77"/>
      <c r="AD4" s="77"/>
      <c r="AE4" s="106">
        <v>1</v>
      </c>
      <c r="AF4" s="106">
        <v>1</v>
      </c>
      <c r="AG4" s="77"/>
      <c r="AH4" s="77"/>
      <c r="AI4" s="77"/>
    </row>
    <row r="5" spans="1:35" ht="39.75" x14ac:dyDescent="0.3">
      <c r="A5" s="78" t="s">
        <v>44</v>
      </c>
      <c r="B5" s="79" t="s">
        <v>79</v>
      </c>
      <c r="C5" s="80"/>
      <c r="D5" s="81">
        <v>6500</v>
      </c>
      <c r="E5" s="82">
        <v>52000</v>
      </c>
      <c r="F5" s="76">
        <v>8</v>
      </c>
      <c r="G5" s="83"/>
      <c r="H5" s="83"/>
      <c r="I5" s="83"/>
      <c r="J5" s="104">
        <v>1</v>
      </c>
      <c r="K5" s="83"/>
      <c r="L5" s="83"/>
      <c r="M5" s="83"/>
      <c r="N5" s="83"/>
      <c r="O5" s="83"/>
      <c r="P5" s="104">
        <v>1</v>
      </c>
      <c r="Q5" s="83"/>
      <c r="R5" s="83"/>
      <c r="S5" s="104">
        <v>1</v>
      </c>
      <c r="T5" s="104">
        <v>1</v>
      </c>
      <c r="U5" s="83"/>
      <c r="V5" s="83"/>
      <c r="W5" s="83"/>
      <c r="X5" s="103">
        <v>1</v>
      </c>
      <c r="Y5" s="83"/>
      <c r="Z5" s="104">
        <v>1</v>
      </c>
      <c r="AA5" s="83"/>
      <c r="AB5" s="83"/>
      <c r="AC5" s="83"/>
      <c r="AD5" s="103">
        <v>1</v>
      </c>
      <c r="AE5" s="83"/>
      <c r="AF5" s="104">
        <v>1</v>
      </c>
      <c r="AG5" s="83"/>
      <c r="AH5" s="83"/>
      <c r="AI5" s="83"/>
    </row>
    <row r="6" spans="1:35" ht="39.75" x14ac:dyDescent="0.3">
      <c r="A6" s="78" t="s">
        <v>46</v>
      </c>
      <c r="B6" s="79" t="s">
        <v>86</v>
      </c>
      <c r="C6" s="80"/>
      <c r="D6" s="81">
        <v>7000</v>
      </c>
      <c r="E6" s="82">
        <v>21000</v>
      </c>
      <c r="F6" s="76">
        <v>3</v>
      </c>
      <c r="G6" s="103">
        <v>1</v>
      </c>
      <c r="H6" s="83"/>
      <c r="I6" s="83"/>
      <c r="J6" s="83"/>
      <c r="K6" s="83"/>
      <c r="L6" s="103">
        <v>1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103">
        <v>1</v>
      </c>
      <c r="AE6" s="83"/>
      <c r="AF6" s="83"/>
      <c r="AG6" s="83"/>
      <c r="AH6" s="83"/>
      <c r="AI6" s="83"/>
    </row>
    <row r="7" spans="1:35" ht="26.25" x14ac:dyDescent="0.3">
      <c r="A7" s="78" t="s">
        <v>48</v>
      </c>
      <c r="B7" s="79" t="s">
        <v>69</v>
      </c>
      <c r="C7" s="80"/>
      <c r="D7" s="81">
        <v>5500</v>
      </c>
      <c r="E7" s="82">
        <v>88000</v>
      </c>
      <c r="F7" s="76">
        <v>16</v>
      </c>
      <c r="G7" s="103">
        <v>1</v>
      </c>
      <c r="H7" s="104">
        <v>1</v>
      </c>
      <c r="I7" s="83"/>
      <c r="J7" s="83"/>
      <c r="K7" s="104">
        <v>2</v>
      </c>
      <c r="L7" s="83"/>
      <c r="M7" s="83"/>
      <c r="N7" s="83"/>
      <c r="O7" s="104">
        <v>1</v>
      </c>
      <c r="P7" s="83"/>
      <c r="Q7" s="83"/>
      <c r="R7" s="103">
        <v>1</v>
      </c>
      <c r="S7" s="83"/>
      <c r="T7" s="104">
        <v>1</v>
      </c>
      <c r="U7" s="83"/>
      <c r="V7" s="103">
        <v>2</v>
      </c>
      <c r="W7" s="83"/>
      <c r="X7" s="83"/>
      <c r="Y7" s="103">
        <v>1</v>
      </c>
      <c r="Z7" s="104">
        <v>1</v>
      </c>
      <c r="AA7" s="83"/>
      <c r="AB7" s="83"/>
      <c r="AC7" s="104">
        <v>1</v>
      </c>
      <c r="AD7" s="83"/>
      <c r="AE7" s="83"/>
      <c r="AF7" s="104">
        <v>2</v>
      </c>
      <c r="AG7" s="83"/>
      <c r="AH7" s="83"/>
      <c r="AI7" s="104">
        <v>2</v>
      </c>
    </row>
    <row r="8" spans="1:35" ht="26.25" x14ac:dyDescent="0.3">
      <c r="A8" s="78" t="s">
        <v>50</v>
      </c>
      <c r="B8" s="79" t="s">
        <v>81</v>
      </c>
      <c r="C8" s="80"/>
      <c r="D8" s="81">
        <v>4000</v>
      </c>
      <c r="E8" s="82">
        <v>8000</v>
      </c>
      <c r="F8" s="76">
        <v>2</v>
      </c>
      <c r="G8" s="83"/>
      <c r="H8" s="83"/>
      <c r="I8" s="83"/>
      <c r="J8" s="83"/>
      <c r="K8" s="83"/>
      <c r="L8" s="83"/>
      <c r="M8" s="83"/>
      <c r="N8" s="83"/>
      <c r="O8" s="83"/>
      <c r="P8" s="104">
        <v>1</v>
      </c>
      <c r="Q8" s="83"/>
      <c r="R8" s="83"/>
      <c r="S8" s="83"/>
      <c r="T8" s="83"/>
      <c r="U8" s="83"/>
      <c r="V8" s="83"/>
      <c r="W8" s="83"/>
      <c r="X8" s="103">
        <v>1</v>
      </c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</row>
    <row r="9" spans="1:35" ht="27" x14ac:dyDescent="0.3">
      <c r="A9" s="78" t="s">
        <v>52</v>
      </c>
      <c r="B9" s="79" t="s">
        <v>83</v>
      </c>
      <c r="C9" s="80"/>
      <c r="D9" s="81">
        <v>4000</v>
      </c>
      <c r="E9" s="82">
        <v>16000</v>
      </c>
      <c r="F9" s="76">
        <v>4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103">
        <v>1</v>
      </c>
      <c r="Y9" s="83"/>
      <c r="Z9" s="83"/>
      <c r="AA9" s="83"/>
      <c r="AB9" s="104">
        <v>1</v>
      </c>
      <c r="AC9" s="83"/>
      <c r="AD9" s="83"/>
      <c r="AE9" s="104">
        <v>1</v>
      </c>
      <c r="AF9" s="83"/>
      <c r="AG9" s="83"/>
      <c r="AH9" s="103">
        <v>1</v>
      </c>
      <c r="AI9" s="83"/>
    </row>
    <row r="10" spans="1:35" ht="39" x14ac:dyDescent="0.3">
      <c r="A10" s="78" t="s">
        <v>54</v>
      </c>
      <c r="B10" s="79" t="s">
        <v>72</v>
      </c>
      <c r="C10" s="80" t="s">
        <v>84</v>
      </c>
      <c r="D10" s="81">
        <v>4000</v>
      </c>
      <c r="E10" s="82">
        <v>20000</v>
      </c>
      <c r="F10" s="76">
        <v>5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103">
        <v>1</v>
      </c>
      <c r="R10" s="83"/>
      <c r="S10" s="83"/>
      <c r="T10" s="83"/>
      <c r="U10" s="103">
        <v>1</v>
      </c>
      <c r="V10" s="83"/>
      <c r="W10" s="83"/>
      <c r="X10" s="103">
        <v>1</v>
      </c>
      <c r="Y10" s="83"/>
      <c r="Z10" s="83"/>
      <c r="AA10" s="83"/>
      <c r="AB10" s="83"/>
      <c r="AC10" s="83"/>
      <c r="AD10" s="83"/>
      <c r="AE10" s="83"/>
      <c r="AF10" s="83"/>
      <c r="AG10" s="104">
        <v>1</v>
      </c>
      <c r="AH10" s="104">
        <v>1</v>
      </c>
      <c r="AI10" s="83"/>
    </row>
    <row r="11" spans="1:35" ht="26.25" x14ac:dyDescent="0.3">
      <c r="A11" s="78" t="s">
        <v>56</v>
      </c>
      <c r="B11" s="79" t="s">
        <v>71</v>
      </c>
      <c r="C11" s="80"/>
      <c r="D11" s="81">
        <v>5000</v>
      </c>
      <c r="E11" s="82">
        <v>10000</v>
      </c>
      <c r="F11" s="76">
        <v>2</v>
      </c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127">
        <v>1</v>
      </c>
      <c r="W11" s="114">
        <v>1</v>
      </c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</row>
    <row r="12" spans="1:35" ht="39" x14ac:dyDescent="0.3">
      <c r="A12" s="78" t="s">
        <v>57</v>
      </c>
      <c r="B12" s="79" t="s">
        <v>77</v>
      </c>
      <c r="C12" s="80"/>
      <c r="D12" s="81">
        <v>7000</v>
      </c>
      <c r="E12" s="82">
        <v>21000</v>
      </c>
      <c r="F12" s="76">
        <v>3</v>
      </c>
      <c r="G12" s="83"/>
      <c r="H12" s="83"/>
      <c r="I12" s="104">
        <v>1</v>
      </c>
      <c r="J12" s="83"/>
      <c r="K12" s="83"/>
      <c r="L12" s="83"/>
      <c r="M12" s="104">
        <v>1</v>
      </c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103">
        <v>1</v>
      </c>
      <c r="AB12" s="83"/>
      <c r="AC12" s="83"/>
      <c r="AD12" s="83"/>
      <c r="AE12" s="83"/>
      <c r="AF12" s="83"/>
      <c r="AG12" s="83"/>
      <c r="AH12" s="83"/>
      <c r="AI12" s="83"/>
    </row>
    <row r="13" spans="1:35" ht="26.25" x14ac:dyDescent="0.3">
      <c r="A13" s="78" t="s">
        <v>58</v>
      </c>
      <c r="B13" s="79" t="s">
        <v>85</v>
      </c>
      <c r="C13" s="80"/>
      <c r="D13" s="81">
        <v>7000</v>
      </c>
      <c r="E13" s="82">
        <v>14000</v>
      </c>
      <c r="F13" s="76">
        <v>2</v>
      </c>
      <c r="G13" s="83"/>
      <c r="H13" s="83"/>
      <c r="I13" s="104">
        <v>1</v>
      </c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103">
        <v>1</v>
      </c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</row>
    <row r="14" spans="1:35" ht="26.25" x14ac:dyDescent="0.3">
      <c r="A14" s="78" t="s">
        <v>60</v>
      </c>
      <c r="B14" s="79"/>
      <c r="C14" s="80"/>
      <c r="D14" s="81">
        <v>7000</v>
      </c>
      <c r="E14" s="82">
        <v>0</v>
      </c>
      <c r="F14" s="76">
        <v>0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</row>
    <row r="15" spans="1:35" ht="40.5" x14ac:dyDescent="0.3">
      <c r="A15" s="78" t="s">
        <v>61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</row>
    <row r="16" spans="1:35" ht="39.75" x14ac:dyDescent="0.3">
      <c r="A16" s="78" t="s">
        <v>62</v>
      </c>
      <c r="B16" s="79"/>
      <c r="C16" s="80"/>
      <c r="D16" s="81">
        <v>7000</v>
      </c>
      <c r="E16" s="82">
        <v>0</v>
      </c>
      <c r="F16" s="76">
        <v>0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</row>
    <row r="17" spans="1:35" ht="27" x14ac:dyDescent="0.3">
      <c r="A17" s="85" t="s">
        <v>63</v>
      </c>
      <c r="B17" s="86"/>
      <c r="C17" s="87"/>
      <c r="D17" s="88">
        <v>7000</v>
      </c>
      <c r="E17" s="89">
        <v>0</v>
      </c>
      <c r="F17" s="76">
        <v>0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</row>
    <row r="18" spans="1:35" x14ac:dyDescent="0.3">
      <c r="A18" s="153" t="s">
        <v>64</v>
      </c>
      <c r="B18" s="154"/>
      <c r="C18" s="155"/>
      <c r="D18" s="159">
        <v>61500</v>
      </c>
      <c r="E18" s="141">
        <v>292000</v>
      </c>
      <c r="F18" s="141">
        <v>52</v>
      </c>
      <c r="G18" s="90">
        <v>2</v>
      </c>
      <c r="H18" s="90">
        <v>1</v>
      </c>
      <c r="I18" s="90">
        <v>2</v>
      </c>
      <c r="J18" s="90">
        <v>1</v>
      </c>
      <c r="K18" s="90">
        <v>2</v>
      </c>
      <c r="L18" s="90">
        <v>1</v>
      </c>
      <c r="M18" s="90">
        <v>1</v>
      </c>
      <c r="N18" s="90">
        <v>1</v>
      </c>
      <c r="O18" s="90">
        <v>1</v>
      </c>
      <c r="P18" s="90">
        <v>3</v>
      </c>
      <c r="Q18" s="90">
        <v>1</v>
      </c>
      <c r="R18" s="90">
        <v>1</v>
      </c>
      <c r="S18" s="90">
        <v>1</v>
      </c>
      <c r="T18" s="90">
        <v>3</v>
      </c>
      <c r="U18" s="90">
        <v>2</v>
      </c>
      <c r="V18" s="90">
        <v>3</v>
      </c>
      <c r="W18" s="90">
        <v>1</v>
      </c>
      <c r="X18" s="90">
        <v>5</v>
      </c>
      <c r="Y18" s="90">
        <v>1</v>
      </c>
      <c r="Z18" s="90">
        <v>3</v>
      </c>
      <c r="AA18" s="90">
        <v>1</v>
      </c>
      <c r="AB18" s="90">
        <v>1</v>
      </c>
      <c r="AC18" s="90">
        <v>1</v>
      </c>
      <c r="AD18" s="90">
        <v>2</v>
      </c>
      <c r="AE18" s="90">
        <v>2</v>
      </c>
      <c r="AF18" s="90">
        <v>4</v>
      </c>
      <c r="AG18" s="90">
        <v>1</v>
      </c>
      <c r="AH18" s="90">
        <v>2</v>
      </c>
      <c r="AI18" s="90">
        <v>2</v>
      </c>
    </row>
    <row r="19" spans="1:35" x14ac:dyDescent="0.3">
      <c r="A19" s="156"/>
      <c r="B19" s="157"/>
      <c r="C19" s="158"/>
      <c r="D19" s="160"/>
      <c r="E19" s="142"/>
      <c r="F19" s="142"/>
      <c r="G19" s="91">
        <v>12500</v>
      </c>
      <c r="H19" s="92">
        <v>5500</v>
      </c>
      <c r="I19" s="92">
        <v>14000</v>
      </c>
      <c r="J19" s="92">
        <v>6500</v>
      </c>
      <c r="K19" s="92">
        <v>11000</v>
      </c>
      <c r="L19" s="92">
        <v>7000</v>
      </c>
      <c r="M19" s="92">
        <v>7000</v>
      </c>
      <c r="N19" s="92">
        <v>6000</v>
      </c>
      <c r="O19" s="92">
        <v>5500</v>
      </c>
      <c r="P19" s="92">
        <v>16500</v>
      </c>
      <c r="Q19" s="92">
        <v>4000</v>
      </c>
      <c r="R19" s="92">
        <v>5500</v>
      </c>
      <c r="S19" s="92">
        <v>6500</v>
      </c>
      <c r="T19" s="92">
        <v>18000</v>
      </c>
      <c r="U19" s="92">
        <v>11000</v>
      </c>
      <c r="V19" s="92">
        <v>16000</v>
      </c>
      <c r="W19" s="92">
        <v>5000</v>
      </c>
      <c r="X19" s="92">
        <v>24500</v>
      </c>
      <c r="Y19" s="92">
        <v>5500</v>
      </c>
      <c r="Z19" s="92">
        <v>18000</v>
      </c>
      <c r="AA19" s="92">
        <v>7000</v>
      </c>
      <c r="AB19" s="92">
        <v>4000</v>
      </c>
      <c r="AC19" s="92">
        <v>5500</v>
      </c>
      <c r="AD19" s="92">
        <v>13500</v>
      </c>
      <c r="AE19" s="92">
        <v>10000</v>
      </c>
      <c r="AF19" s="92">
        <v>23500</v>
      </c>
      <c r="AG19" s="92">
        <v>4000</v>
      </c>
      <c r="AH19" s="92">
        <v>8000</v>
      </c>
      <c r="AI19" s="92">
        <v>11000</v>
      </c>
    </row>
  </sheetData>
  <mergeCells count="9">
    <mergeCell ref="F18:F19"/>
    <mergeCell ref="A2:A3"/>
    <mergeCell ref="B2:B3"/>
    <mergeCell ref="C2:C3"/>
    <mergeCell ref="D2:D3"/>
    <mergeCell ref="E2:E3"/>
    <mergeCell ref="A18:C19"/>
    <mergeCell ref="D18:D19"/>
    <mergeCell ref="E18:E19"/>
  </mergeCells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B3E3-1A0C-4CC9-98B4-5ABDCB93D0C8}">
  <dimension ref="A2:AL19"/>
  <sheetViews>
    <sheetView zoomScale="70" zoomScaleNormal="70" workbookViewId="0">
      <pane xSplit="1" topLeftCell="Y1" activePane="topRight" state="frozen"/>
      <selection pane="topRight" activeCell="AF12" sqref="AF12"/>
    </sheetView>
  </sheetViews>
  <sheetFormatPr defaultRowHeight="16.5" x14ac:dyDescent="0.3"/>
  <sheetData>
    <row r="2" spans="1:38" ht="16.5" customHeight="1" x14ac:dyDescent="0.3">
      <c r="A2" s="143" t="s">
        <v>35</v>
      </c>
      <c r="B2" s="145" t="s">
        <v>36</v>
      </c>
      <c r="C2" s="147" t="s">
        <v>37</v>
      </c>
      <c r="D2" s="149" t="s">
        <v>38</v>
      </c>
      <c r="E2" s="151" t="s">
        <v>39</v>
      </c>
      <c r="F2" s="66" t="s">
        <v>40</v>
      </c>
      <c r="G2" s="67">
        <v>1</v>
      </c>
      <c r="H2" s="68">
        <v>2</v>
      </c>
      <c r="I2" s="68">
        <v>3</v>
      </c>
      <c r="J2" s="68">
        <v>4</v>
      </c>
      <c r="K2" s="68">
        <v>5</v>
      </c>
      <c r="L2" s="68">
        <v>6</v>
      </c>
      <c r="M2" s="68">
        <v>7</v>
      </c>
      <c r="N2" s="68">
        <v>8</v>
      </c>
      <c r="O2" s="68">
        <v>9</v>
      </c>
      <c r="P2" s="68">
        <v>10</v>
      </c>
      <c r="Q2" s="68">
        <v>11</v>
      </c>
      <c r="R2" s="68">
        <v>12</v>
      </c>
      <c r="S2" s="68">
        <v>13</v>
      </c>
      <c r="T2" s="68">
        <v>14</v>
      </c>
      <c r="U2" s="68">
        <v>15</v>
      </c>
      <c r="V2" s="68">
        <v>16</v>
      </c>
      <c r="W2" s="68">
        <v>17</v>
      </c>
      <c r="X2" s="67">
        <v>18</v>
      </c>
      <c r="Y2" s="68">
        <v>19</v>
      </c>
      <c r="Z2" s="68">
        <v>20</v>
      </c>
      <c r="AA2" s="68">
        <v>21</v>
      </c>
      <c r="AB2" s="68">
        <v>22</v>
      </c>
      <c r="AC2" s="68">
        <v>23</v>
      </c>
      <c r="AD2" s="68">
        <v>24</v>
      </c>
      <c r="AE2" s="68">
        <v>25</v>
      </c>
      <c r="AF2" s="68">
        <v>26</v>
      </c>
      <c r="AG2" s="68">
        <v>27</v>
      </c>
      <c r="AH2" s="68">
        <v>28</v>
      </c>
      <c r="AI2" s="68">
        <v>29</v>
      </c>
      <c r="AJ2" s="116">
        <v>30</v>
      </c>
      <c r="AK2" s="68">
        <v>31</v>
      </c>
      <c r="AL2" s="68">
        <v>32</v>
      </c>
    </row>
    <row r="3" spans="1:38" ht="39" customHeight="1" x14ac:dyDescent="0.3">
      <c r="A3" s="144"/>
      <c r="B3" s="146"/>
      <c r="C3" s="148"/>
      <c r="D3" s="150"/>
      <c r="E3" s="152"/>
      <c r="F3" s="69" t="s">
        <v>41</v>
      </c>
      <c r="G3" s="70">
        <v>1220</v>
      </c>
      <c r="H3" s="70">
        <v>1019</v>
      </c>
      <c r="I3" s="70">
        <v>1516</v>
      </c>
      <c r="J3" s="70">
        <v>522</v>
      </c>
      <c r="K3" s="70">
        <v>801</v>
      </c>
      <c r="L3" s="70">
        <v>1017</v>
      </c>
      <c r="M3" s="70">
        <v>830</v>
      </c>
      <c r="N3" s="70">
        <v>1801</v>
      </c>
      <c r="O3" s="70">
        <v>1416</v>
      </c>
      <c r="P3" s="70">
        <v>1221</v>
      </c>
      <c r="Q3" s="70">
        <v>828</v>
      </c>
      <c r="R3" s="70">
        <v>1106</v>
      </c>
      <c r="S3" s="70">
        <v>716</v>
      </c>
      <c r="T3" s="70">
        <v>1420</v>
      </c>
      <c r="U3" s="70">
        <v>1418</v>
      </c>
      <c r="V3" s="70">
        <v>1001</v>
      </c>
      <c r="W3" s="70">
        <v>701</v>
      </c>
      <c r="X3" s="70">
        <v>806</v>
      </c>
      <c r="Y3" s="70">
        <v>1721</v>
      </c>
      <c r="Z3" s="70">
        <v>1231</v>
      </c>
      <c r="AA3" s="70">
        <v>509</v>
      </c>
      <c r="AB3" s="70">
        <v>1427</v>
      </c>
      <c r="AC3" s="70">
        <v>631</v>
      </c>
      <c r="AD3" s="70">
        <v>1531</v>
      </c>
      <c r="AE3" s="70">
        <v>1530</v>
      </c>
      <c r="AF3" s="70">
        <v>1123</v>
      </c>
      <c r="AG3" s="70">
        <v>1721</v>
      </c>
      <c r="AH3" s="70">
        <v>824</v>
      </c>
      <c r="AI3" s="70">
        <v>1527</v>
      </c>
      <c r="AJ3" s="117">
        <v>822</v>
      </c>
      <c r="AK3" s="118">
        <v>1125</v>
      </c>
      <c r="AL3" s="118">
        <v>712</v>
      </c>
    </row>
    <row r="4" spans="1:38" ht="39.75" x14ac:dyDescent="0.3">
      <c r="A4" s="71" t="s">
        <v>42</v>
      </c>
      <c r="B4" s="72" t="s">
        <v>79</v>
      </c>
      <c r="C4" s="73"/>
      <c r="D4" s="74">
        <v>6000</v>
      </c>
      <c r="E4" s="75">
        <v>24000</v>
      </c>
      <c r="F4" s="76">
        <v>4</v>
      </c>
      <c r="G4" s="77"/>
      <c r="H4" s="77"/>
      <c r="I4" s="106">
        <v>1</v>
      </c>
      <c r="J4" s="77"/>
      <c r="K4" s="77"/>
      <c r="L4" s="77"/>
      <c r="M4" s="77"/>
      <c r="N4" s="77"/>
      <c r="O4" s="113">
        <v>1</v>
      </c>
      <c r="P4" s="77"/>
      <c r="Q4" s="77"/>
      <c r="R4" s="77"/>
      <c r="S4" s="77"/>
      <c r="T4" s="77"/>
      <c r="U4" s="106">
        <v>1</v>
      </c>
      <c r="V4" s="77"/>
      <c r="W4" s="77"/>
      <c r="X4" s="77"/>
      <c r="Y4" s="105">
        <v>1</v>
      </c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119"/>
      <c r="AK4" s="77"/>
      <c r="AL4" s="77"/>
    </row>
    <row r="5" spans="1:38" ht="39.75" x14ac:dyDescent="0.3">
      <c r="A5" s="78" t="s">
        <v>44</v>
      </c>
      <c r="B5" s="79" t="s">
        <v>79</v>
      </c>
      <c r="C5" s="80"/>
      <c r="D5" s="81">
        <v>6500</v>
      </c>
      <c r="E5" s="82">
        <v>13000</v>
      </c>
      <c r="F5" s="76">
        <v>2</v>
      </c>
      <c r="G5" s="104">
        <v>1</v>
      </c>
      <c r="H5" s="83"/>
      <c r="I5" s="104">
        <v>1</v>
      </c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120"/>
      <c r="AK5" s="83"/>
      <c r="AL5" s="83"/>
    </row>
    <row r="6" spans="1:38" ht="39.75" x14ac:dyDescent="0.3">
      <c r="A6" s="78" t="s">
        <v>46</v>
      </c>
      <c r="B6" s="79" t="s">
        <v>86</v>
      </c>
      <c r="C6" s="80"/>
      <c r="D6" s="81">
        <v>7000</v>
      </c>
      <c r="E6" s="82">
        <v>14000</v>
      </c>
      <c r="F6" s="76">
        <v>2</v>
      </c>
      <c r="G6" s="83"/>
      <c r="H6" s="83"/>
      <c r="I6" s="104">
        <v>1</v>
      </c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103">
        <v>1</v>
      </c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120"/>
      <c r="AK6" s="83"/>
      <c r="AL6" s="83"/>
    </row>
    <row r="7" spans="1:38" ht="26.25" x14ac:dyDescent="0.3">
      <c r="A7" s="78" t="s">
        <v>48</v>
      </c>
      <c r="B7" s="79" t="s">
        <v>69</v>
      </c>
      <c r="C7" s="80"/>
      <c r="D7" s="81">
        <v>5500</v>
      </c>
      <c r="E7" s="82">
        <v>126500</v>
      </c>
      <c r="F7" s="76">
        <v>23</v>
      </c>
      <c r="G7" s="83"/>
      <c r="H7" s="104">
        <v>2</v>
      </c>
      <c r="I7" s="104">
        <v>1</v>
      </c>
      <c r="J7" s="103">
        <v>1</v>
      </c>
      <c r="K7" s="83"/>
      <c r="L7" s="103">
        <v>2</v>
      </c>
      <c r="M7" s="104">
        <v>1</v>
      </c>
      <c r="N7" s="103">
        <v>1</v>
      </c>
      <c r="O7" s="83"/>
      <c r="P7" s="104">
        <v>1</v>
      </c>
      <c r="Q7" s="83"/>
      <c r="R7" s="104">
        <v>1</v>
      </c>
      <c r="S7" s="104">
        <v>1</v>
      </c>
      <c r="T7" s="104">
        <v>1</v>
      </c>
      <c r="U7" s="104">
        <v>1</v>
      </c>
      <c r="V7" s="103">
        <v>1</v>
      </c>
      <c r="W7" s="83"/>
      <c r="X7" s="95">
        <v>1</v>
      </c>
      <c r="Y7" s="83"/>
      <c r="Z7" s="103">
        <v>1</v>
      </c>
      <c r="AA7" s="104">
        <v>1</v>
      </c>
      <c r="AB7" s="83"/>
      <c r="AC7" s="83"/>
      <c r="AD7" s="83"/>
      <c r="AE7" s="104">
        <v>2</v>
      </c>
      <c r="AF7" s="83"/>
      <c r="AG7" s="83"/>
      <c r="AH7" s="83"/>
      <c r="AI7" s="83">
        <v>1</v>
      </c>
      <c r="AJ7" s="120"/>
      <c r="AK7" s="104">
        <v>2</v>
      </c>
      <c r="AL7" s="103">
        <v>1</v>
      </c>
    </row>
    <row r="8" spans="1:38" ht="26.25" x14ac:dyDescent="0.3">
      <c r="A8" s="78" t="s">
        <v>50</v>
      </c>
      <c r="B8" s="79" t="s">
        <v>81</v>
      </c>
      <c r="C8" s="80"/>
      <c r="D8" s="81">
        <v>4000</v>
      </c>
      <c r="E8" s="82">
        <v>8000</v>
      </c>
      <c r="F8" s="76">
        <v>2</v>
      </c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103">
        <v>1</v>
      </c>
      <c r="AG8" s="83"/>
      <c r="AH8" s="83"/>
      <c r="AI8" s="83"/>
      <c r="AJ8" s="133">
        <v>1</v>
      </c>
      <c r="AK8" s="83"/>
      <c r="AL8" s="83"/>
    </row>
    <row r="9" spans="1:38" ht="27" x14ac:dyDescent="0.3">
      <c r="A9" s="78" t="s">
        <v>52</v>
      </c>
      <c r="B9" s="79" t="s">
        <v>83</v>
      </c>
      <c r="C9" s="80"/>
      <c r="D9" s="81">
        <v>4000</v>
      </c>
      <c r="E9" s="82">
        <v>16000</v>
      </c>
      <c r="F9" s="76">
        <v>4</v>
      </c>
      <c r="G9" s="104">
        <v>1</v>
      </c>
      <c r="H9" s="104">
        <v>1</v>
      </c>
      <c r="I9" s="83"/>
      <c r="J9" s="83"/>
      <c r="K9" s="83"/>
      <c r="L9" s="103">
        <v>1</v>
      </c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133">
        <v>1</v>
      </c>
      <c r="AK9" s="83"/>
      <c r="AL9" s="83"/>
    </row>
    <row r="10" spans="1:38" ht="39" x14ac:dyDescent="0.3">
      <c r="A10" s="78" t="s">
        <v>54</v>
      </c>
      <c r="B10" s="79" t="s">
        <v>72</v>
      </c>
      <c r="C10" s="80" t="s">
        <v>84</v>
      </c>
      <c r="D10" s="81">
        <v>4000</v>
      </c>
      <c r="E10" s="82">
        <v>16000</v>
      </c>
      <c r="F10" s="76">
        <v>4</v>
      </c>
      <c r="G10" s="83"/>
      <c r="H10" s="104">
        <v>1</v>
      </c>
      <c r="I10" s="83"/>
      <c r="J10" s="83"/>
      <c r="K10" s="83"/>
      <c r="L10" s="83"/>
      <c r="M10" s="83"/>
      <c r="N10" s="83"/>
      <c r="O10" s="83"/>
      <c r="P10" s="83"/>
      <c r="Q10" s="103">
        <v>1</v>
      </c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104">
        <v>1</v>
      </c>
      <c r="AC10" s="104">
        <v>1</v>
      </c>
      <c r="AD10" s="83"/>
      <c r="AE10" s="83"/>
      <c r="AF10" s="83"/>
      <c r="AG10" s="83"/>
      <c r="AH10" s="83"/>
      <c r="AI10" s="83"/>
      <c r="AJ10" s="120"/>
      <c r="AK10" s="83"/>
      <c r="AL10" s="83"/>
    </row>
    <row r="11" spans="1:38" ht="26.25" x14ac:dyDescent="0.3">
      <c r="A11" s="78" t="s">
        <v>56</v>
      </c>
      <c r="B11" s="79" t="s">
        <v>71</v>
      </c>
      <c r="C11" s="80"/>
      <c r="D11" s="81">
        <v>5000</v>
      </c>
      <c r="E11" s="82">
        <v>15000</v>
      </c>
      <c r="F11" s="76">
        <v>3</v>
      </c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114">
        <v>1</v>
      </c>
      <c r="X11" s="84"/>
      <c r="Y11" s="84"/>
      <c r="Z11" s="84"/>
      <c r="AA11" s="84"/>
      <c r="AB11" s="84"/>
      <c r="AC11" s="84"/>
      <c r="AD11" s="84"/>
      <c r="AE11" s="84"/>
      <c r="AF11" s="84"/>
      <c r="AG11" s="127">
        <v>1</v>
      </c>
      <c r="AH11" s="84"/>
      <c r="AI11" s="108">
        <v>1</v>
      </c>
      <c r="AJ11" s="121"/>
      <c r="AK11" s="83"/>
      <c r="AL11" s="83"/>
    </row>
    <row r="12" spans="1:38" ht="39" x14ac:dyDescent="0.3">
      <c r="A12" s="78" t="s">
        <v>57</v>
      </c>
      <c r="B12" s="79" t="s">
        <v>77</v>
      </c>
      <c r="C12" s="80"/>
      <c r="D12" s="81">
        <v>7000</v>
      </c>
      <c r="E12" s="82">
        <v>14000</v>
      </c>
      <c r="F12" s="76">
        <v>2</v>
      </c>
      <c r="G12" s="83"/>
      <c r="H12" s="83"/>
      <c r="I12" s="83"/>
      <c r="J12" s="83"/>
      <c r="K12" s="103">
        <v>1</v>
      </c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104">
        <v>1</v>
      </c>
      <c r="AC12" s="83"/>
      <c r="AD12" s="83"/>
      <c r="AE12" s="83"/>
      <c r="AF12" s="83"/>
      <c r="AG12" s="83"/>
      <c r="AH12" s="83"/>
      <c r="AI12" s="83"/>
      <c r="AJ12" s="120"/>
      <c r="AK12" s="83"/>
      <c r="AL12" s="83"/>
    </row>
    <row r="13" spans="1:38" ht="26.25" x14ac:dyDescent="0.3">
      <c r="A13" s="78" t="s">
        <v>58</v>
      </c>
      <c r="B13" s="79" t="s">
        <v>85</v>
      </c>
      <c r="C13" s="80"/>
      <c r="D13" s="81">
        <v>7000</v>
      </c>
      <c r="E13" s="82">
        <v>35000</v>
      </c>
      <c r="F13" s="76">
        <v>5</v>
      </c>
      <c r="G13" s="83"/>
      <c r="H13" s="83"/>
      <c r="I13" s="83"/>
      <c r="J13" s="83"/>
      <c r="K13" s="103">
        <v>1</v>
      </c>
      <c r="L13" s="83"/>
      <c r="M13" s="83"/>
      <c r="N13" s="83"/>
      <c r="O13" s="95">
        <v>1</v>
      </c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104">
        <v>1</v>
      </c>
      <c r="AC13" s="83"/>
      <c r="AD13" s="103">
        <v>1</v>
      </c>
      <c r="AE13" s="83"/>
      <c r="AF13" s="83"/>
      <c r="AG13" s="83"/>
      <c r="AH13" s="104">
        <v>1</v>
      </c>
      <c r="AI13" s="83"/>
      <c r="AJ13" s="120"/>
      <c r="AK13" s="83"/>
      <c r="AL13" s="83"/>
    </row>
    <row r="14" spans="1:38" ht="26.25" x14ac:dyDescent="0.3">
      <c r="A14" s="78" t="s">
        <v>60</v>
      </c>
      <c r="B14" s="79"/>
      <c r="C14" s="80"/>
      <c r="D14" s="81">
        <v>7000</v>
      </c>
      <c r="E14" s="82">
        <v>0</v>
      </c>
      <c r="F14" s="76">
        <v>0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120"/>
      <c r="AK14" s="83"/>
      <c r="AL14" s="83"/>
    </row>
    <row r="15" spans="1:38" ht="40.5" x14ac:dyDescent="0.3">
      <c r="A15" s="78" t="s">
        <v>61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120"/>
      <c r="AK15" s="83"/>
      <c r="AL15" s="83"/>
    </row>
    <row r="16" spans="1:38" ht="39.75" x14ac:dyDescent="0.3">
      <c r="A16" s="78" t="s">
        <v>62</v>
      </c>
      <c r="B16" s="79"/>
      <c r="C16" s="80"/>
      <c r="D16" s="81">
        <v>7000</v>
      </c>
      <c r="E16" s="82">
        <v>0</v>
      </c>
      <c r="F16" s="76">
        <v>0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121"/>
      <c r="AK16" s="83"/>
      <c r="AL16" s="83"/>
    </row>
    <row r="17" spans="1:38" ht="27" x14ac:dyDescent="0.3">
      <c r="A17" s="85" t="s">
        <v>63</v>
      </c>
      <c r="B17" s="86"/>
      <c r="C17" s="87"/>
      <c r="D17" s="88">
        <v>7000</v>
      </c>
      <c r="E17" s="89">
        <v>0</v>
      </c>
      <c r="F17" s="76">
        <v>0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120"/>
      <c r="AK17" s="84"/>
      <c r="AL17" s="84"/>
    </row>
    <row r="18" spans="1:38" x14ac:dyDescent="0.3">
      <c r="A18" s="153" t="s">
        <v>64</v>
      </c>
      <c r="B18" s="154"/>
      <c r="C18" s="155"/>
      <c r="D18" s="159">
        <v>61500</v>
      </c>
      <c r="E18" s="141">
        <v>281500</v>
      </c>
      <c r="F18" s="141">
        <v>51</v>
      </c>
      <c r="G18" s="90">
        <v>2</v>
      </c>
      <c r="H18" s="90">
        <v>4</v>
      </c>
      <c r="I18" s="90">
        <v>4</v>
      </c>
      <c r="J18" s="90">
        <v>1</v>
      </c>
      <c r="K18" s="90">
        <v>2</v>
      </c>
      <c r="L18" s="90">
        <v>3</v>
      </c>
      <c r="M18" s="90">
        <v>1</v>
      </c>
      <c r="N18" s="90">
        <v>1</v>
      </c>
      <c r="O18" s="90">
        <v>2</v>
      </c>
      <c r="P18" s="90">
        <v>1</v>
      </c>
      <c r="Q18" s="90">
        <v>1</v>
      </c>
      <c r="R18" s="90">
        <v>1</v>
      </c>
      <c r="S18" s="90">
        <v>1</v>
      </c>
      <c r="T18" s="90">
        <v>1</v>
      </c>
      <c r="U18" s="90">
        <v>2</v>
      </c>
      <c r="V18" s="90">
        <v>1</v>
      </c>
      <c r="W18" s="90">
        <v>1</v>
      </c>
      <c r="X18" s="90">
        <v>1</v>
      </c>
      <c r="Y18" s="90">
        <v>2</v>
      </c>
      <c r="Z18" s="90">
        <v>1</v>
      </c>
      <c r="AA18" s="90">
        <v>1</v>
      </c>
      <c r="AB18" s="90">
        <v>3</v>
      </c>
      <c r="AC18" s="90">
        <v>1</v>
      </c>
      <c r="AD18" s="90">
        <v>1</v>
      </c>
      <c r="AE18" s="90">
        <v>2</v>
      </c>
      <c r="AF18" s="90">
        <v>1</v>
      </c>
      <c r="AG18" s="90">
        <v>1</v>
      </c>
      <c r="AH18" s="90">
        <v>1</v>
      </c>
      <c r="AI18" s="90">
        <v>2</v>
      </c>
      <c r="AJ18" s="122">
        <v>2</v>
      </c>
      <c r="AK18" s="123">
        <v>2</v>
      </c>
      <c r="AL18" s="123">
        <v>1</v>
      </c>
    </row>
    <row r="19" spans="1:38" x14ac:dyDescent="0.3">
      <c r="A19" s="156"/>
      <c r="B19" s="157"/>
      <c r="C19" s="158"/>
      <c r="D19" s="160"/>
      <c r="E19" s="142"/>
      <c r="F19" s="142"/>
      <c r="G19" s="91">
        <v>10500</v>
      </c>
      <c r="H19" s="92">
        <v>19000</v>
      </c>
      <c r="I19" s="92">
        <v>25000</v>
      </c>
      <c r="J19" s="92">
        <v>5500</v>
      </c>
      <c r="K19" s="92">
        <v>14000</v>
      </c>
      <c r="L19" s="92">
        <v>15000</v>
      </c>
      <c r="M19" s="92">
        <v>5500</v>
      </c>
      <c r="N19" s="92">
        <v>5500</v>
      </c>
      <c r="O19" s="92">
        <v>13000</v>
      </c>
      <c r="P19" s="92">
        <v>5500</v>
      </c>
      <c r="Q19" s="92">
        <v>4000</v>
      </c>
      <c r="R19" s="92">
        <v>5500</v>
      </c>
      <c r="S19" s="92">
        <v>5500</v>
      </c>
      <c r="T19" s="92">
        <v>5500</v>
      </c>
      <c r="U19" s="92">
        <v>11500</v>
      </c>
      <c r="V19" s="92">
        <v>5500</v>
      </c>
      <c r="W19" s="92">
        <v>5000</v>
      </c>
      <c r="X19" s="92">
        <v>5500</v>
      </c>
      <c r="Y19" s="92">
        <v>13000</v>
      </c>
      <c r="Z19" s="92">
        <v>5500</v>
      </c>
      <c r="AA19" s="92">
        <v>5500</v>
      </c>
      <c r="AB19" s="92">
        <v>18000</v>
      </c>
      <c r="AC19" s="92">
        <v>4000</v>
      </c>
      <c r="AD19" s="92">
        <v>7000</v>
      </c>
      <c r="AE19" s="92">
        <v>11000</v>
      </c>
      <c r="AF19" s="92">
        <v>4000</v>
      </c>
      <c r="AG19" s="92">
        <v>5000</v>
      </c>
      <c r="AH19" s="92">
        <v>7000</v>
      </c>
      <c r="AI19" s="92">
        <v>10500</v>
      </c>
      <c r="AJ19" s="124">
        <v>8000</v>
      </c>
      <c r="AK19" s="92">
        <v>11000</v>
      </c>
      <c r="AL19" s="92">
        <v>5500</v>
      </c>
    </row>
  </sheetData>
  <mergeCells count="9">
    <mergeCell ref="F18:F19"/>
    <mergeCell ref="A2:A3"/>
    <mergeCell ref="B2:B3"/>
    <mergeCell ref="C2:C3"/>
    <mergeCell ref="D2:D3"/>
    <mergeCell ref="E2:E3"/>
    <mergeCell ref="A18:C19"/>
    <mergeCell ref="D18:D19"/>
    <mergeCell ref="E18:E19"/>
  </mergeCells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46BE-9F22-417D-86C4-6385DCA22501}">
  <dimension ref="A2:AO19"/>
  <sheetViews>
    <sheetView zoomScale="70" zoomScaleNormal="70" workbookViewId="0">
      <pane xSplit="1" topLeftCell="O1" activePane="topRight" state="frozen"/>
      <selection pane="topRight" activeCell="A2" sqref="A2:AO19"/>
    </sheetView>
  </sheetViews>
  <sheetFormatPr defaultRowHeight="16.5" x14ac:dyDescent="0.3"/>
  <sheetData>
    <row r="2" spans="1:41" ht="16.5" customHeight="1" x14ac:dyDescent="0.3">
      <c r="A2" s="143" t="s">
        <v>35</v>
      </c>
      <c r="B2" s="145" t="s">
        <v>36</v>
      </c>
      <c r="C2" s="147" t="s">
        <v>37</v>
      </c>
      <c r="D2" s="149" t="s">
        <v>38</v>
      </c>
      <c r="E2" s="151" t="s">
        <v>39</v>
      </c>
      <c r="F2" s="66" t="s">
        <v>40</v>
      </c>
      <c r="G2" s="67">
        <v>1</v>
      </c>
      <c r="H2" s="68">
        <v>2</v>
      </c>
      <c r="I2" s="68">
        <v>3</v>
      </c>
      <c r="J2" s="68">
        <v>4</v>
      </c>
      <c r="K2" s="68">
        <v>5</v>
      </c>
      <c r="L2" s="68">
        <v>6</v>
      </c>
      <c r="M2" s="68">
        <v>7</v>
      </c>
      <c r="N2" s="68">
        <v>8</v>
      </c>
      <c r="O2" s="68">
        <v>9</v>
      </c>
      <c r="P2" s="68">
        <v>10</v>
      </c>
      <c r="Q2" s="68">
        <v>11</v>
      </c>
      <c r="R2" s="68">
        <v>12</v>
      </c>
      <c r="S2" s="68">
        <v>13</v>
      </c>
      <c r="T2" s="68">
        <v>14</v>
      </c>
      <c r="U2" s="68">
        <v>15</v>
      </c>
      <c r="V2" s="68">
        <v>16</v>
      </c>
      <c r="W2" s="68">
        <v>17</v>
      </c>
      <c r="X2" s="67">
        <v>18</v>
      </c>
      <c r="Y2" s="68">
        <v>19</v>
      </c>
      <c r="Z2" s="68">
        <v>20</v>
      </c>
      <c r="AA2" s="68">
        <v>21</v>
      </c>
      <c r="AB2" s="68">
        <v>22</v>
      </c>
      <c r="AC2" s="68">
        <v>23</v>
      </c>
      <c r="AD2" s="68">
        <v>24</v>
      </c>
      <c r="AE2" s="68">
        <v>25</v>
      </c>
      <c r="AF2" s="68">
        <v>26</v>
      </c>
      <c r="AG2" s="68">
        <v>27</v>
      </c>
      <c r="AH2" s="68">
        <v>28</v>
      </c>
      <c r="AI2" s="68">
        <v>29</v>
      </c>
      <c r="AJ2" s="116">
        <v>30</v>
      </c>
      <c r="AK2" s="68">
        <v>31</v>
      </c>
      <c r="AL2" s="68">
        <v>32</v>
      </c>
      <c r="AM2" s="68">
        <v>33</v>
      </c>
      <c r="AN2" s="68">
        <v>34</v>
      </c>
      <c r="AO2" s="68">
        <v>35</v>
      </c>
    </row>
    <row r="3" spans="1:41" ht="39" customHeight="1" x14ac:dyDescent="0.3">
      <c r="A3" s="144"/>
      <c r="B3" s="146"/>
      <c r="C3" s="148"/>
      <c r="D3" s="150"/>
      <c r="E3" s="152"/>
      <c r="F3" s="69" t="s">
        <v>41</v>
      </c>
      <c r="G3" s="70">
        <v>1019</v>
      </c>
      <c r="H3" s="70">
        <v>1723</v>
      </c>
      <c r="I3" s="70">
        <v>731</v>
      </c>
      <c r="J3" s="70">
        <v>701</v>
      </c>
      <c r="K3" s="70">
        <v>1703</v>
      </c>
      <c r="L3" s="70">
        <v>1624</v>
      </c>
      <c r="M3" s="70">
        <v>1114</v>
      </c>
      <c r="N3" s="70">
        <v>1222</v>
      </c>
      <c r="O3" s="70">
        <v>1116</v>
      </c>
      <c r="P3" s="70">
        <v>1419</v>
      </c>
      <c r="Q3" s="70">
        <v>923</v>
      </c>
      <c r="R3" s="70">
        <v>1227</v>
      </c>
      <c r="S3" s="70">
        <v>1020</v>
      </c>
      <c r="T3" s="70">
        <v>717</v>
      </c>
      <c r="U3" s="70">
        <v>1106</v>
      </c>
      <c r="V3" s="70">
        <v>603</v>
      </c>
      <c r="W3" s="70">
        <v>1129</v>
      </c>
      <c r="X3" s="70">
        <v>626</v>
      </c>
      <c r="Y3" s="70">
        <v>1121</v>
      </c>
      <c r="Z3" s="70">
        <v>721</v>
      </c>
      <c r="AA3" s="70">
        <v>1614</v>
      </c>
      <c r="AB3" s="70">
        <v>1005</v>
      </c>
      <c r="AC3" s="70">
        <v>1705</v>
      </c>
      <c r="AD3" s="70">
        <v>818</v>
      </c>
      <c r="AE3" s="70">
        <v>1424</v>
      </c>
      <c r="AF3" s="70">
        <v>606</v>
      </c>
      <c r="AG3" s="70">
        <v>830</v>
      </c>
      <c r="AH3" s="70">
        <v>1016</v>
      </c>
      <c r="AI3" s="70">
        <v>1120</v>
      </c>
      <c r="AJ3" s="117">
        <v>1516</v>
      </c>
      <c r="AK3" s="118">
        <v>1515</v>
      </c>
      <c r="AL3" s="118">
        <v>922</v>
      </c>
      <c r="AM3" s="118">
        <v>1601</v>
      </c>
      <c r="AN3" s="118">
        <v>1414</v>
      </c>
      <c r="AO3" s="118">
        <v>827</v>
      </c>
    </row>
    <row r="4" spans="1:41" ht="39.75" x14ac:dyDescent="0.3">
      <c r="A4" s="71" t="s">
        <v>42</v>
      </c>
      <c r="B4" s="72" t="s">
        <v>79</v>
      </c>
      <c r="C4" s="73"/>
      <c r="D4" s="74">
        <v>6000</v>
      </c>
      <c r="E4" s="75">
        <v>60000</v>
      </c>
      <c r="F4" s="76">
        <v>10</v>
      </c>
      <c r="G4" s="77"/>
      <c r="H4" s="77"/>
      <c r="I4" s="77"/>
      <c r="J4" s="77"/>
      <c r="K4" s="77"/>
      <c r="L4" s="106">
        <v>1</v>
      </c>
      <c r="M4" s="77"/>
      <c r="N4" s="77"/>
      <c r="O4" s="77"/>
      <c r="P4" s="106">
        <v>1</v>
      </c>
      <c r="Q4" s="106">
        <v>1</v>
      </c>
      <c r="R4" s="106">
        <v>1</v>
      </c>
      <c r="S4" s="113">
        <v>1</v>
      </c>
      <c r="T4" s="77"/>
      <c r="U4" s="77"/>
      <c r="V4" s="77"/>
      <c r="W4" s="77"/>
      <c r="X4" s="77"/>
      <c r="Y4" s="77"/>
      <c r="Z4" s="77"/>
      <c r="AA4" s="77"/>
      <c r="AB4" s="77"/>
      <c r="AC4" s="77"/>
      <c r="AD4" s="106">
        <v>1</v>
      </c>
      <c r="AE4" s="77"/>
      <c r="AF4" s="113">
        <v>1</v>
      </c>
      <c r="AG4" s="106">
        <v>1</v>
      </c>
      <c r="AH4" s="105">
        <v>1</v>
      </c>
      <c r="AI4" s="77"/>
      <c r="AJ4" s="134">
        <v>1</v>
      </c>
      <c r="AK4" s="77"/>
      <c r="AL4" s="77"/>
      <c r="AM4" s="77"/>
      <c r="AN4" s="77"/>
      <c r="AO4" s="77"/>
    </row>
    <row r="5" spans="1:41" ht="39.75" x14ac:dyDescent="0.3">
      <c r="A5" s="78" t="s">
        <v>44</v>
      </c>
      <c r="B5" s="79" t="s">
        <v>79</v>
      </c>
      <c r="C5" s="80"/>
      <c r="D5" s="81">
        <v>6500</v>
      </c>
      <c r="E5" s="82">
        <v>39000</v>
      </c>
      <c r="F5" s="76">
        <v>6</v>
      </c>
      <c r="G5" s="104">
        <v>1</v>
      </c>
      <c r="H5" s="83"/>
      <c r="I5" s="83"/>
      <c r="J5" s="83"/>
      <c r="K5" s="104">
        <v>1</v>
      </c>
      <c r="L5" s="83"/>
      <c r="M5" s="83"/>
      <c r="N5" s="83"/>
      <c r="O5" s="83"/>
      <c r="P5" s="83"/>
      <c r="Q5" s="83"/>
      <c r="R5" s="83"/>
      <c r="S5" s="83"/>
      <c r="T5" s="83"/>
      <c r="U5" s="83"/>
      <c r="V5" s="103">
        <v>1</v>
      </c>
      <c r="W5" s="83"/>
      <c r="X5" s="83"/>
      <c r="Y5" s="83"/>
      <c r="Z5" s="83"/>
      <c r="AA5" s="83"/>
      <c r="AB5" s="104">
        <v>1</v>
      </c>
      <c r="AC5" s="104">
        <v>1</v>
      </c>
      <c r="AD5" s="83"/>
      <c r="AE5" s="83"/>
      <c r="AF5" s="83"/>
      <c r="AG5" s="83"/>
      <c r="AH5" s="83"/>
      <c r="AI5" s="83"/>
      <c r="AJ5" s="135">
        <v>1</v>
      </c>
      <c r="AK5" s="83"/>
      <c r="AL5" s="83"/>
      <c r="AM5" s="83"/>
      <c r="AN5" s="83"/>
      <c r="AO5" s="83"/>
    </row>
    <row r="6" spans="1:41" ht="39.75" x14ac:dyDescent="0.3">
      <c r="A6" s="78" t="s">
        <v>46</v>
      </c>
      <c r="B6" s="79" t="s">
        <v>86</v>
      </c>
      <c r="C6" s="80"/>
      <c r="D6" s="81">
        <v>7000</v>
      </c>
      <c r="E6" s="82">
        <v>0</v>
      </c>
      <c r="F6" s="76">
        <v>0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120"/>
      <c r="AK6" s="83"/>
      <c r="AL6" s="83"/>
      <c r="AM6" s="83"/>
      <c r="AN6" s="83"/>
      <c r="AO6" s="83"/>
    </row>
    <row r="7" spans="1:41" ht="26.25" x14ac:dyDescent="0.3">
      <c r="A7" s="78" t="s">
        <v>48</v>
      </c>
      <c r="B7" s="79" t="s">
        <v>69</v>
      </c>
      <c r="C7" s="80"/>
      <c r="D7" s="81">
        <v>5500</v>
      </c>
      <c r="E7" s="82">
        <v>121000</v>
      </c>
      <c r="F7" s="76">
        <v>22</v>
      </c>
      <c r="G7" s="104">
        <v>1</v>
      </c>
      <c r="H7" s="83"/>
      <c r="I7" s="104">
        <v>1</v>
      </c>
      <c r="J7" s="103">
        <v>2</v>
      </c>
      <c r="K7" s="83"/>
      <c r="L7" s="104">
        <v>2</v>
      </c>
      <c r="M7" s="104">
        <v>2</v>
      </c>
      <c r="N7" s="83"/>
      <c r="O7" s="103">
        <v>1</v>
      </c>
      <c r="P7" s="83"/>
      <c r="Q7" s="83"/>
      <c r="R7" s="83"/>
      <c r="S7" s="83"/>
      <c r="T7" s="103">
        <v>2</v>
      </c>
      <c r="U7" s="104">
        <v>1</v>
      </c>
      <c r="V7" s="103">
        <v>1</v>
      </c>
      <c r="W7" s="83"/>
      <c r="X7" s="104">
        <v>1</v>
      </c>
      <c r="Y7" s="83"/>
      <c r="Z7" s="103">
        <v>1</v>
      </c>
      <c r="AA7" s="104">
        <v>1</v>
      </c>
      <c r="AB7" s="83"/>
      <c r="AC7" s="83"/>
      <c r="AD7" s="83"/>
      <c r="AE7" s="103">
        <v>1</v>
      </c>
      <c r="AF7" s="83"/>
      <c r="AG7" s="83"/>
      <c r="AH7" s="83"/>
      <c r="AI7" s="83"/>
      <c r="AJ7" s="120"/>
      <c r="AK7" s="83"/>
      <c r="AL7" s="104">
        <v>2</v>
      </c>
      <c r="AM7" s="103">
        <v>1</v>
      </c>
      <c r="AN7" s="83"/>
      <c r="AO7" s="103">
        <v>2</v>
      </c>
    </row>
    <row r="8" spans="1:41" ht="26.25" x14ac:dyDescent="0.3">
      <c r="A8" s="78" t="s">
        <v>50</v>
      </c>
      <c r="B8" s="79" t="s">
        <v>72</v>
      </c>
      <c r="C8" s="80"/>
      <c r="D8" s="81">
        <v>4000</v>
      </c>
      <c r="E8" s="82">
        <v>8000</v>
      </c>
      <c r="F8" s="76">
        <v>2</v>
      </c>
      <c r="G8" s="83"/>
      <c r="H8" s="83"/>
      <c r="I8" s="104">
        <v>1</v>
      </c>
      <c r="J8" s="83"/>
      <c r="K8" s="83"/>
      <c r="L8" s="83"/>
      <c r="M8" s="83"/>
      <c r="N8" s="104">
        <v>1</v>
      </c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20"/>
      <c r="AK8" s="83"/>
      <c r="AL8" s="83"/>
      <c r="AM8" s="83"/>
      <c r="AN8" s="83"/>
      <c r="AO8" s="83"/>
    </row>
    <row r="9" spans="1:41" ht="27" x14ac:dyDescent="0.3">
      <c r="A9" s="78" t="s">
        <v>52</v>
      </c>
      <c r="B9" s="79" t="s">
        <v>83</v>
      </c>
      <c r="C9" s="80"/>
      <c r="D9" s="81">
        <v>4000</v>
      </c>
      <c r="E9" s="82">
        <v>20000</v>
      </c>
      <c r="F9" s="76">
        <v>5</v>
      </c>
      <c r="G9" s="104">
        <v>1</v>
      </c>
      <c r="H9" s="83"/>
      <c r="I9" s="83"/>
      <c r="J9" s="83"/>
      <c r="K9" s="83"/>
      <c r="L9" s="83"/>
      <c r="M9" s="83"/>
      <c r="N9" s="104">
        <v>1</v>
      </c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103">
        <v>1</v>
      </c>
      <c r="AI9" s="83"/>
      <c r="AJ9" s="120"/>
      <c r="AK9" s="83"/>
      <c r="AL9" s="104">
        <v>1</v>
      </c>
      <c r="AM9" s="103">
        <v>1</v>
      </c>
      <c r="AN9" s="83"/>
      <c r="AO9" s="83"/>
    </row>
    <row r="10" spans="1:41" ht="39" x14ac:dyDescent="0.3">
      <c r="A10" s="78" t="s">
        <v>54</v>
      </c>
      <c r="B10" s="79" t="s">
        <v>84</v>
      </c>
      <c r="C10" s="80"/>
      <c r="D10" s="81">
        <v>4000</v>
      </c>
      <c r="E10" s="82">
        <v>8000</v>
      </c>
      <c r="F10" s="76">
        <v>2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104">
        <v>1</v>
      </c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120"/>
      <c r="AK10" s="83"/>
      <c r="AL10" s="83"/>
      <c r="AM10" s="83"/>
      <c r="AN10" s="104">
        <v>1</v>
      </c>
      <c r="AO10" s="83"/>
    </row>
    <row r="11" spans="1:41" ht="26.25" x14ac:dyDescent="0.3">
      <c r="A11" s="78" t="s">
        <v>56</v>
      </c>
      <c r="B11" s="79" t="s">
        <v>71</v>
      </c>
      <c r="C11" s="80"/>
      <c r="D11" s="81">
        <v>5000</v>
      </c>
      <c r="E11" s="82">
        <v>20000</v>
      </c>
      <c r="F11" s="76">
        <v>4</v>
      </c>
      <c r="G11" s="84"/>
      <c r="H11" s="127">
        <v>1</v>
      </c>
      <c r="I11" s="84"/>
      <c r="J11" s="84"/>
      <c r="K11" s="84"/>
      <c r="L11" s="84"/>
      <c r="M11" s="84"/>
      <c r="N11" s="108">
        <v>1</v>
      </c>
      <c r="O11" s="84"/>
      <c r="P11" s="84"/>
      <c r="Q11" s="84"/>
      <c r="R11" s="84"/>
      <c r="S11" s="84"/>
      <c r="T11" s="84"/>
      <c r="U11" s="84"/>
      <c r="V11" s="84"/>
      <c r="W11" s="108">
        <v>1</v>
      </c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127">
        <v>1</v>
      </c>
      <c r="AJ11" s="121"/>
      <c r="AK11" s="83"/>
      <c r="AL11" s="83"/>
      <c r="AM11" s="83"/>
      <c r="AN11" s="83"/>
      <c r="AO11" s="83"/>
    </row>
    <row r="12" spans="1:41" ht="39" x14ac:dyDescent="0.3">
      <c r="A12" s="78" t="s">
        <v>57</v>
      </c>
      <c r="B12" s="79" t="s">
        <v>77</v>
      </c>
      <c r="C12" s="80"/>
      <c r="D12" s="81">
        <v>7000</v>
      </c>
      <c r="E12" s="82">
        <v>14000</v>
      </c>
      <c r="F12" s="76">
        <v>2</v>
      </c>
      <c r="G12" s="83"/>
      <c r="H12" s="83"/>
      <c r="I12" s="83"/>
      <c r="J12" s="83"/>
      <c r="K12" s="104">
        <v>1</v>
      </c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120"/>
      <c r="AK12" s="103">
        <v>1</v>
      </c>
      <c r="AL12" s="83"/>
      <c r="AM12" s="83"/>
      <c r="AN12" s="83"/>
      <c r="AO12" s="83"/>
    </row>
    <row r="13" spans="1:41" ht="26.25" x14ac:dyDescent="0.3">
      <c r="A13" s="78" t="s">
        <v>58</v>
      </c>
      <c r="B13" s="79" t="s">
        <v>85</v>
      </c>
      <c r="C13" s="80"/>
      <c r="D13" s="81">
        <v>7000</v>
      </c>
      <c r="E13" s="82">
        <v>28000</v>
      </c>
      <c r="F13" s="76">
        <v>4</v>
      </c>
      <c r="G13" s="83"/>
      <c r="H13" s="103">
        <v>1</v>
      </c>
      <c r="I13" s="83"/>
      <c r="J13" s="83"/>
      <c r="K13" s="104">
        <v>1</v>
      </c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104">
        <v>1</v>
      </c>
      <c r="AC13" s="83"/>
      <c r="AD13" s="83"/>
      <c r="AE13" s="83"/>
      <c r="AF13" s="83"/>
      <c r="AG13" s="83"/>
      <c r="AH13" s="83"/>
      <c r="AI13" s="83"/>
      <c r="AJ13" s="120"/>
      <c r="AK13" s="83"/>
      <c r="AL13" s="83"/>
      <c r="AM13" s="83"/>
      <c r="AN13" s="83"/>
      <c r="AO13" s="103">
        <v>1</v>
      </c>
    </row>
    <row r="14" spans="1:41" ht="26.25" x14ac:dyDescent="0.3">
      <c r="A14" s="78" t="s">
        <v>60</v>
      </c>
      <c r="B14" s="79"/>
      <c r="C14" s="80"/>
      <c r="D14" s="81">
        <v>7000</v>
      </c>
      <c r="E14" s="82">
        <v>0</v>
      </c>
      <c r="F14" s="76">
        <v>0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120"/>
      <c r="AK14" s="83"/>
      <c r="AL14" s="83"/>
      <c r="AM14" s="83"/>
      <c r="AN14" s="83"/>
      <c r="AO14" s="83"/>
    </row>
    <row r="15" spans="1:41" ht="40.5" x14ac:dyDescent="0.3">
      <c r="A15" s="78" t="s">
        <v>61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120"/>
      <c r="AK15" s="83"/>
      <c r="AL15" s="83"/>
      <c r="AM15" s="83"/>
      <c r="AN15" s="83"/>
      <c r="AO15" s="83"/>
    </row>
    <row r="16" spans="1:41" ht="39.75" x14ac:dyDescent="0.3">
      <c r="A16" s="78" t="s">
        <v>62</v>
      </c>
      <c r="B16" s="79"/>
      <c r="C16" s="80"/>
      <c r="D16" s="81">
        <v>7000</v>
      </c>
      <c r="E16" s="82">
        <v>0</v>
      </c>
      <c r="F16" s="76">
        <v>0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121"/>
      <c r="AK16" s="83"/>
      <c r="AL16" s="83"/>
      <c r="AM16" s="83"/>
      <c r="AN16" s="83"/>
      <c r="AO16" s="83"/>
    </row>
    <row r="17" spans="1:41" ht="27" x14ac:dyDescent="0.3">
      <c r="A17" s="85" t="s">
        <v>63</v>
      </c>
      <c r="B17" s="86"/>
      <c r="C17" s="87"/>
      <c r="D17" s="88">
        <v>7000</v>
      </c>
      <c r="E17" s="89">
        <v>0</v>
      </c>
      <c r="F17" s="76">
        <v>0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120"/>
      <c r="AK17" s="84"/>
      <c r="AL17" s="84"/>
      <c r="AM17" s="84"/>
      <c r="AN17" s="84"/>
      <c r="AO17" s="84"/>
    </row>
    <row r="18" spans="1:41" x14ac:dyDescent="0.3">
      <c r="A18" s="153" t="s">
        <v>64</v>
      </c>
      <c r="B18" s="154"/>
      <c r="C18" s="155"/>
      <c r="D18" s="159">
        <v>61500</v>
      </c>
      <c r="E18" s="141">
        <v>318000</v>
      </c>
      <c r="F18" s="141">
        <v>57</v>
      </c>
      <c r="G18" s="90">
        <v>3</v>
      </c>
      <c r="H18" s="90">
        <v>2</v>
      </c>
      <c r="I18" s="90">
        <v>2</v>
      </c>
      <c r="J18" s="90">
        <v>2</v>
      </c>
      <c r="K18" s="90">
        <v>3</v>
      </c>
      <c r="L18" s="90">
        <v>3</v>
      </c>
      <c r="M18" s="90">
        <v>2</v>
      </c>
      <c r="N18" s="90">
        <v>3</v>
      </c>
      <c r="O18" s="90">
        <v>1</v>
      </c>
      <c r="P18" s="90">
        <v>1</v>
      </c>
      <c r="Q18" s="90">
        <v>1</v>
      </c>
      <c r="R18" s="90">
        <v>1</v>
      </c>
      <c r="S18" s="90">
        <v>1</v>
      </c>
      <c r="T18" s="90">
        <v>2</v>
      </c>
      <c r="U18" s="90">
        <v>1</v>
      </c>
      <c r="V18" s="90">
        <v>2</v>
      </c>
      <c r="W18" s="90">
        <v>1</v>
      </c>
      <c r="X18" s="90">
        <v>1</v>
      </c>
      <c r="Y18" s="90">
        <v>1</v>
      </c>
      <c r="Z18" s="90">
        <v>1</v>
      </c>
      <c r="AA18" s="90">
        <v>1</v>
      </c>
      <c r="AB18" s="90">
        <v>2</v>
      </c>
      <c r="AC18" s="90">
        <v>1</v>
      </c>
      <c r="AD18" s="90">
        <v>1</v>
      </c>
      <c r="AE18" s="90">
        <v>1</v>
      </c>
      <c r="AF18" s="90">
        <v>1</v>
      </c>
      <c r="AG18" s="90">
        <v>1</v>
      </c>
      <c r="AH18" s="90">
        <v>2</v>
      </c>
      <c r="AI18" s="90">
        <v>1</v>
      </c>
      <c r="AJ18" s="122">
        <v>2</v>
      </c>
      <c r="AK18" s="123">
        <v>1</v>
      </c>
      <c r="AL18" s="123">
        <v>3</v>
      </c>
      <c r="AM18" s="123">
        <v>2</v>
      </c>
      <c r="AN18" s="123">
        <v>1</v>
      </c>
      <c r="AO18" s="123">
        <v>3</v>
      </c>
    </row>
    <row r="19" spans="1:41" x14ac:dyDescent="0.3">
      <c r="A19" s="156"/>
      <c r="B19" s="157"/>
      <c r="C19" s="158"/>
      <c r="D19" s="160"/>
      <c r="E19" s="142"/>
      <c r="F19" s="142"/>
      <c r="G19" s="91">
        <v>16000</v>
      </c>
      <c r="H19" s="92">
        <v>12000</v>
      </c>
      <c r="I19" s="92">
        <v>9500</v>
      </c>
      <c r="J19" s="92">
        <v>11000</v>
      </c>
      <c r="K19" s="92">
        <v>20500</v>
      </c>
      <c r="L19" s="92">
        <v>17000</v>
      </c>
      <c r="M19" s="92">
        <v>11000</v>
      </c>
      <c r="N19" s="92">
        <v>13000</v>
      </c>
      <c r="O19" s="92">
        <v>5500</v>
      </c>
      <c r="P19" s="92">
        <v>6000</v>
      </c>
      <c r="Q19" s="92">
        <v>6000</v>
      </c>
      <c r="R19" s="92">
        <v>6000</v>
      </c>
      <c r="S19" s="92">
        <v>6000</v>
      </c>
      <c r="T19" s="92">
        <v>11000</v>
      </c>
      <c r="U19" s="92">
        <v>5500</v>
      </c>
      <c r="V19" s="92">
        <v>12000</v>
      </c>
      <c r="W19" s="92">
        <v>5000</v>
      </c>
      <c r="X19" s="92">
        <v>5500</v>
      </c>
      <c r="Y19" s="92">
        <v>4000</v>
      </c>
      <c r="Z19" s="92">
        <v>5500</v>
      </c>
      <c r="AA19" s="92">
        <v>5500</v>
      </c>
      <c r="AB19" s="92">
        <v>13500</v>
      </c>
      <c r="AC19" s="92">
        <v>6500</v>
      </c>
      <c r="AD19" s="92">
        <v>6000</v>
      </c>
      <c r="AE19" s="92">
        <v>5500</v>
      </c>
      <c r="AF19" s="92">
        <v>6000</v>
      </c>
      <c r="AG19" s="92">
        <v>6000</v>
      </c>
      <c r="AH19" s="92">
        <v>10000</v>
      </c>
      <c r="AI19" s="92">
        <v>5000</v>
      </c>
      <c r="AJ19" s="124">
        <v>12500</v>
      </c>
      <c r="AK19" s="92">
        <v>7000</v>
      </c>
      <c r="AL19" s="92">
        <v>15000</v>
      </c>
      <c r="AM19" s="92">
        <v>9500</v>
      </c>
      <c r="AN19" s="92">
        <v>4000</v>
      </c>
      <c r="AO19" s="92">
        <v>18000</v>
      </c>
    </row>
  </sheetData>
  <mergeCells count="9">
    <mergeCell ref="E18:E19"/>
    <mergeCell ref="E2:E3"/>
    <mergeCell ref="A18:C19"/>
    <mergeCell ref="F18:F19"/>
    <mergeCell ref="A2:A3"/>
    <mergeCell ref="B2:B3"/>
    <mergeCell ref="C2:C3"/>
    <mergeCell ref="D2:D3"/>
    <mergeCell ref="D18:D19"/>
  </mergeCells>
  <phoneticPr fontId="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8FC3-82A2-4F5A-B45E-1B35D0DFDD02}">
  <dimension ref="A2:AO19"/>
  <sheetViews>
    <sheetView zoomScale="70" zoomScaleNormal="70" workbookViewId="0">
      <pane xSplit="1" topLeftCell="B1" activePane="topRight" state="frozen"/>
      <selection pane="topRight" activeCell="AB2" sqref="AB2"/>
    </sheetView>
  </sheetViews>
  <sheetFormatPr defaultRowHeight="16.5" x14ac:dyDescent="0.3"/>
  <sheetData>
    <row r="2" spans="1:41" ht="16.5" customHeight="1" x14ac:dyDescent="0.3">
      <c r="A2" s="143" t="s">
        <v>35</v>
      </c>
      <c r="B2" s="145" t="s">
        <v>36</v>
      </c>
      <c r="C2" s="147" t="s">
        <v>37</v>
      </c>
      <c r="D2" s="149" t="s">
        <v>38</v>
      </c>
      <c r="E2" s="151" t="s">
        <v>39</v>
      </c>
      <c r="F2" s="66" t="s">
        <v>40</v>
      </c>
      <c r="G2" s="67">
        <v>1</v>
      </c>
      <c r="H2" s="68">
        <v>2</v>
      </c>
      <c r="I2" s="68">
        <v>3</v>
      </c>
      <c r="J2" s="68">
        <v>4</v>
      </c>
      <c r="K2" s="68">
        <v>5</v>
      </c>
      <c r="L2" s="68">
        <v>6</v>
      </c>
      <c r="M2" s="68">
        <v>7</v>
      </c>
      <c r="N2" s="68">
        <v>8</v>
      </c>
      <c r="O2" s="68">
        <v>9</v>
      </c>
      <c r="P2" s="68">
        <v>10</v>
      </c>
      <c r="Q2" s="68">
        <v>11</v>
      </c>
      <c r="R2" s="68">
        <v>12</v>
      </c>
      <c r="S2" s="68">
        <v>13</v>
      </c>
      <c r="T2" s="68">
        <v>14</v>
      </c>
      <c r="U2" s="68">
        <v>15</v>
      </c>
      <c r="V2" s="68">
        <v>16</v>
      </c>
      <c r="W2" s="68">
        <v>17</v>
      </c>
      <c r="X2" s="67">
        <v>18</v>
      </c>
      <c r="Y2" s="68">
        <v>19</v>
      </c>
      <c r="Z2" s="68">
        <v>20</v>
      </c>
      <c r="AA2" s="68">
        <v>21</v>
      </c>
      <c r="AB2" s="68">
        <v>22</v>
      </c>
      <c r="AC2" s="68">
        <v>23</v>
      </c>
      <c r="AD2" s="68">
        <v>24</v>
      </c>
      <c r="AE2" s="68">
        <v>25</v>
      </c>
      <c r="AF2" s="68"/>
      <c r="AG2" s="68"/>
      <c r="AH2" s="68"/>
      <c r="AI2" s="68"/>
      <c r="AJ2" s="116"/>
      <c r="AK2" s="68"/>
      <c r="AL2" s="68"/>
      <c r="AM2" s="68"/>
      <c r="AN2" s="68"/>
      <c r="AO2" s="68"/>
    </row>
    <row r="3" spans="1:41" ht="39" customHeight="1" x14ac:dyDescent="0.3">
      <c r="A3" s="144"/>
      <c r="B3" s="146"/>
      <c r="C3" s="148"/>
      <c r="D3" s="150"/>
      <c r="E3" s="152"/>
      <c r="F3" s="69" t="s">
        <v>41</v>
      </c>
      <c r="G3" s="70">
        <v>1402</v>
      </c>
      <c r="H3" s="70">
        <v>1021</v>
      </c>
      <c r="I3" s="70">
        <v>1019</v>
      </c>
      <c r="J3" s="70">
        <v>524</v>
      </c>
      <c r="K3" s="70">
        <v>1220</v>
      </c>
      <c r="L3" s="70">
        <v>1625</v>
      </c>
      <c r="M3" s="70">
        <v>610</v>
      </c>
      <c r="N3" s="70">
        <v>1415</v>
      </c>
      <c r="O3" s="70">
        <v>608</v>
      </c>
      <c r="P3" s="70">
        <v>829</v>
      </c>
      <c r="Q3" s="70">
        <v>1230</v>
      </c>
      <c r="R3" s="70">
        <v>612</v>
      </c>
      <c r="S3" s="70">
        <v>514</v>
      </c>
      <c r="T3" s="70">
        <v>626</v>
      </c>
      <c r="U3" s="70">
        <v>628</v>
      </c>
      <c r="V3" s="70">
        <v>920</v>
      </c>
      <c r="W3" s="70">
        <v>616</v>
      </c>
      <c r="X3" s="70">
        <v>619</v>
      </c>
      <c r="Y3" s="70">
        <v>901</v>
      </c>
      <c r="Z3" s="70">
        <v>1811</v>
      </c>
      <c r="AA3" s="70">
        <v>1528</v>
      </c>
      <c r="AB3" s="70">
        <v>1121</v>
      </c>
      <c r="AC3" s="70">
        <v>929</v>
      </c>
      <c r="AD3" s="70">
        <v>906</v>
      </c>
      <c r="AE3" s="70">
        <v>915</v>
      </c>
      <c r="AF3" s="70"/>
      <c r="AG3" s="70"/>
      <c r="AH3" s="70"/>
      <c r="AI3" s="70"/>
      <c r="AJ3" s="117"/>
      <c r="AK3" s="118"/>
      <c r="AL3" s="118"/>
      <c r="AM3" s="118"/>
      <c r="AN3" s="118"/>
      <c r="AO3" s="118"/>
    </row>
    <row r="4" spans="1:41" ht="39.75" x14ac:dyDescent="0.3">
      <c r="A4" s="71" t="s">
        <v>42</v>
      </c>
      <c r="B4" s="72" t="s">
        <v>79</v>
      </c>
      <c r="C4" s="73"/>
      <c r="D4" s="74">
        <v>6000</v>
      </c>
      <c r="E4" s="75">
        <v>54000</v>
      </c>
      <c r="F4" s="76">
        <v>9</v>
      </c>
      <c r="G4" s="106">
        <v>1</v>
      </c>
      <c r="H4" s="77"/>
      <c r="I4" s="77"/>
      <c r="J4" s="106">
        <v>1</v>
      </c>
      <c r="K4" s="106">
        <v>1</v>
      </c>
      <c r="L4" s="113">
        <v>1</v>
      </c>
      <c r="M4" s="113">
        <v>1</v>
      </c>
      <c r="N4" s="77"/>
      <c r="O4" s="105">
        <v>1</v>
      </c>
      <c r="P4" s="77"/>
      <c r="Q4" s="77"/>
      <c r="R4" s="77"/>
      <c r="S4" s="105">
        <v>1</v>
      </c>
      <c r="T4" s="77"/>
      <c r="U4" s="77"/>
      <c r="V4" s="77"/>
      <c r="W4" s="77"/>
      <c r="X4" s="106">
        <v>1</v>
      </c>
      <c r="Y4" s="77"/>
      <c r="Z4" s="106">
        <v>1</v>
      </c>
      <c r="AA4" s="77"/>
      <c r="AB4" s="77"/>
      <c r="AC4" s="77"/>
      <c r="AD4" s="77"/>
      <c r="AE4" s="77"/>
      <c r="AF4" s="77"/>
      <c r="AG4" s="77"/>
      <c r="AH4" s="77"/>
      <c r="AI4" s="77"/>
      <c r="AJ4" s="119"/>
      <c r="AK4" s="77"/>
      <c r="AL4" s="77"/>
      <c r="AM4" s="77"/>
      <c r="AN4" s="77"/>
      <c r="AO4" s="77"/>
    </row>
    <row r="5" spans="1:41" ht="39.75" x14ac:dyDescent="0.3">
      <c r="A5" s="78" t="s">
        <v>44</v>
      </c>
      <c r="B5" s="79" t="s">
        <v>79</v>
      </c>
      <c r="C5" s="80"/>
      <c r="D5" s="81">
        <v>6500</v>
      </c>
      <c r="E5" s="82">
        <v>58500</v>
      </c>
      <c r="F5" s="76">
        <v>9</v>
      </c>
      <c r="G5" s="104">
        <v>1</v>
      </c>
      <c r="H5" s="83"/>
      <c r="I5" s="83"/>
      <c r="J5" s="83"/>
      <c r="K5" s="104">
        <v>1</v>
      </c>
      <c r="L5" s="83"/>
      <c r="M5" s="95">
        <v>1</v>
      </c>
      <c r="N5" s="83"/>
      <c r="O5" s="103">
        <v>1</v>
      </c>
      <c r="P5" s="83"/>
      <c r="Q5" s="83"/>
      <c r="R5" s="83"/>
      <c r="S5" s="83"/>
      <c r="T5" s="83"/>
      <c r="U5" s="104">
        <v>1</v>
      </c>
      <c r="V5" s="83"/>
      <c r="W5" s="83"/>
      <c r="X5" s="104">
        <v>1</v>
      </c>
      <c r="Y5" s="95">
        <v>1</v>
      </c>
      <c r="Z5" s="83"/>
      <c r="AA5" s="83"/>
      <c r="AB5" s="83"/>
      <c r="AC5" s="104">
        <v>1</v>
      </c>
      <c r="AD5" s="95">
        <v>1</v>
      </c>
      <c r="AE5" s="83"/>
      <c r="AF5" s="83"/>
      <c r="AG5" s="83"/>
      <c r="AH5" s="83"/>
      <c r="AI5" s="83"/>
      <c r="AJ5" s="120"/>
      <c r="AK5" s="83"/>
      <c r="AL5" s="83"/>
      <c r="AM5" s="83"/>
      <c r="AN5" s="83"/>
      <c r="AO5" s="83"/>
    </row>
    <row r="6" spans="1:41" ht="39.75" x14ac:dyDescent="0.3">
      <c r="A6" s="78" t="s">
        <v>46</v>
      </c>
      <c r="B6" s="79" t="s">
        <v>86</v>
      </c>
      <c r="C6" s="80"/>
      <c r="D6" s="81">
        <v>7000</v>
      </c>
      <c r="E6" s="82">
        <v>0</v>
      </c>
      <c r="F6" s="76">
        <v>0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120"/>
      <c r="AK6" s="83"/>
      <c r="AL6" s="83"/>
      <c r="AM6" s="83"/>
      <c r="AN6" s="83"/>
      <c r="AO6" s="83"/>
    </row>
    <row r="7" spans="1:41" ht="26.25" x14ac:dyDescent="0.3">
      <c r="A7" s="78" t="s">
        <v>48</v>
      </c>
      <c r="B7" s="79" t="s">
        <v>69</v>
      </c>
      <c r="C7" s="80"/>
      <c r="D7" s="81">
        <v>5500</v>
      </c>
      <c r="E7" s="82">
        <v>38500</v>
      </c>
      <c r="F7" s="76">
        <v>7</v>
      </c>
      <c r="G7" s="83"/>
      <c r="H7" s="83"/>
      <c r="I7" s="83"/>
      <c r="J7" s="83"/>
      <c r="K7" s="83"/>
      <c r="L7" s="83"/>
      <c r="M7" s="83"/>
      <c r="N7" s="83"/>
      <c r="O7" s="83"/>
      <c r="P7" s="103">
        <v>1</v>
      </c>
      <c r="Q7" s="104">
        <v>1</v>
      </c>
      <c r="R7" s="104">
        <v>1</v>
      </c>
      <c r="S7" s="83"/>
      <c r="T7" s="104">
        <v>1</v>
      </c>
      <c r="U7" s="83"/>
      <c r="V7" s="83"/>
      <c r="W7" s="103">
        <v>1</v>
      </c>
      <c r="X7" s="83"/>
      <c r="Y7" s="83"/>
      <c r="Z7" s="104">
        <v>2</v>
      </c>
      <c r="AA7" s="83"/>
      <c r="AB7" s="83"/>
      <c r="AC7" s="83"/>
      <c r="AD7" s="83"/>
      <c r="AE7" s="83"/>
      <c r="AF7" s="83"/>
      <c r="AG7" s="83"/>
      <c r="AH7" s="83"/>
      <c r="AI7" s="83"/>
      <c r="AJ7" s="120"/>
      <c r="AK7" s="83"/>
      <c r="AL7" s="83"/>
      <c r="AM7" s="83"/>
      <c r="AN7" s="83"/>
      <c r="AO7" s="83"/>
    </row>
    <row r="8" spans="1:41" ht="26.25" x14ac:dyDescent="0.3">
      <c r="A8" s="78" t="s">
        <v>50</v>
      </c>
      <c r="B8" s="79" t="s">
        <v>72</v>
      </c>
      <c r="C8" s="80"/>
      <c r="D8" s="81">
        <v>4000</v>
      </c>
      <c r="E8" s="82">
        <v>0</v>
      </c>
      <c r="F8" s="76">
        <v>0</v>
      </c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120"/>
      <c r="AK8" s="83"/>
      <c r="AL8" s="83"/>
      <c r="AM8" s="83"/>
      <c r="AN8" s="83"/>
      <c r="AO8" s="83"/>
    </row>
    <row r="9" spans="1:41" ht="27" x14ac:dyDescent="0.3">
      <c r="A9" s="78" t="s">
        <v>52</v>
      </c>
      <c r="B9" s="79" t="s">
        <v>83</v>
      </c>
      <c r="C9" s="80"/>
      <c r="D9" s="81">
        <v>4000</v>
      </c>
      <c r="E9" s="82">
        <v>12000</v>
      </c>
      <c r="F9" s="76">
        <v>3</v>
      </c>
      <c r="G9" s="83"/>
      <c r="H9" s="104">
        <v>1</v>
      </c>
      <c r="I9" s="104">
        <v>1</v>
      </c>
      <c r="J9" s="83"/>
      <c r="K9" s="83"/>
      <c r="L9" s="95">
        <v>1</v>
      </c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120"/>
      <c r="AK9" s="83"/>
      <c r="AL9" s="83"/>
      <c r="AM9" s="83"/>
      <c r="AN9" s="83"/>
      <c r="AO9" s="83"/>
    </row>
    <row r="10" spans="1:41" ht="39" x14ac:dyDescent="0.3">
      <c r="A10" s="78" t="s">
        <v>54</v>
      </c>
      <c r="B10" s="79" t="s">
        <v>84</v>
      </c>
      <c r="C10" s="80"/>
      <c r="D10" s="81">
        <v>4000</v>
      </c>
      <c r="E10" s="82">
        <v>8000</v>
      </c>
      <c r="F10" s="76">
        <v>2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103">
        <v>1</v>
      </c>
      <c r="W10" s="83"/>
      <c r="X10" s="83"/>
      <c r="Y10" s="83"/>
      <c r="Z10" s="83"/>
      <c r="AA10" s="83"/>
      <c r="AB10" s="104">
        <v>1</v>
      </c>
      <c r="AC10" s="83"/>
      <c r="AD10" s="83"/>
      <c r="AE10" s="83"/>
      <c r="AF10" s="83"/>
      <c r="AG10" s="83"/>
      <c r="AH10" s="83"/>
      <c r="AI10" s="83"/>
      <c r="AJ10" s="120"/>
      <c r="AK10" s="83"/>
      <c r="AL10" s="83"/>
      <c r="AM10" s="83"/>
      <c r="AN10" s="83"/>
      <c r="AO10" s="83"/>
    </row>
    <row r="11" spans="1:41" ht="26.25" x14ac:dyDescent="0.3">
      <c r="A11" s="78" t="s">
        <v>56</v>
      </c>
      <c r="B11" s="79" t="s">
        <v>71</v>
      </c>
      <c r="C11" s="80"/>
      <c r="D11" s="81">
        <v>5000</v>
      </c>
      <c r="E11" s="82">
        <v>5000</v>
      </c>
      <c r="F11" s="76">
        <v>1</v>
      </c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114">
        <v>1</v>
      </c>
      <c r="AB11" s="84"/>
      <c r="AC11" s="84"/>
      <c r="AD11" s="84"/>
      <c r="AE11" s="84"/>
      <c r="AF11" s="84"/>
      <c r="AG11" s="84"/>
      <c r="AH11" s="84"/>
      <c r="AI11" s="84"/>
      <c r="AJ11" s="121"/>
      <c r="AK11" s="83"/>
      <c r="AL11" s="83"/>
      <c r="AM11" s="83"/>
      <c r="AN11" s="83"/>
      <c r="AO11" s="83"/>
    </row>
    <row r="12" spans="1:41" ht="39" x14ac:dyDescent="0.3">
      <c r="A12" s="78" t="s">
        <v>57</v>
      </c>
      <c r="B12" s="79" t="s">
        <v>77</v>
      </c>
      <c r="C12" s="80"/>
      <c r="D12" s="81">
        <v>7000</v>
      </c>
      <c r="E12" s="82">
        <v>14000</v>
      </c>
      <c r="F12" s="76">
        <v>2</v>
      </c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103">
        <v>1</v>
      </c>
      <c r="W12" s="83"/>
      <c r="X12" s="83"/>
      <c r="Y12" s="83"/>
      <c r="Z12" s="83"/>
      <c r="AA12" s="83"/>
      <c r="AB12" s="83"/>
      <c r="AC12" s="83"/>
      <c r="AD12" s="83"/>
      <c r="AE12" s="103">
        <v>1</v>
      </c>
      <c r="AF12" s="83"/>
      <c r="AG12" s="83"/>
      <c r="AH12" s="83"/>
      <c r="AI12" s="83"/>
      <c r="AJ12" s="120"/>
      <c r="AK12" s="83"/>
      <c r="AL12" s="83"/>
      <c r="AM12" s="83"/>
      <c r="AN12" s="83"/>
      <c r="AO12" s="83"/>
    </row>
    <row r="13" spans="1:41" ht="26.25" x14ac:dyDescent="0.3">
      <c r="A13" s="78" t="s">
        <v>58</v>
      </c>
      <c r="B13" s="79" t="s">
        <v>85</v>
      </c>
      <c r="C13" s="80"/>
      <c r="D13" s="81">
        <v>7000</v>
      </c>
      <c r="E13" s="82">
        <v>14000</v>
      </c>
      <c r="F13" s="76">
        <v>2</v>
      </c>
      <c r="G13" s="83"/>
      <c r="H13" s="83"/>
      <c r="I13" s="83"/>
      <c r="J13" s="83"/>
      <c r="K13" s="83"/>
      <c r="L13" s="83"/>
      <c r="M13" s="83"/>
      <c r="N13" s="104">
        <v>1</v>
      </c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103">
        <v>1</v>
      </c>
      <c r="AF13" s="83"/>
      <c r="AG13" s="83"/>
      <c r="AH13" s="83"/>
      <c r="AI13" s="83"/>
      <c r="AJ13" s="120"/>
      <c r="AK13" s="83"/>
      <c r="AL13" s="83"/>
      <c r="AM13" s="83"/>
      <c r="AN13" s="83"/>
      <c r="AO13" s="83"/>
    </row>
    <row r="14" spans="1:41" ht="26.25" x14ac:dyDescent="0.3">
      <c r="A14" s="78" t="s">
        <v>60</v>
      </c>
      <c r="B14" s="79"/>
      <c r="C14" s="80"/>
      <c r="D14" s="81">
        <v>7000</v>
      </c>
      <c r="E14" s="82">
        <v>0</v>
      </c>
      <c r="F14" s="76">
        <v>0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120"/>
      <c r="AK14" s="83"/>
      <c r="AL14" s="83"/>
      <c r="AM14" s="83"/>
      <c r="AN14" s="83"/>
      <c r="AO14" s="83"/>
    </row>
    <row r="15" spans="1:41" ht="40.5" x14ac:dyDescent="0.3">
      <c r="A15" s="78" t="s">
        <v>61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120"/>
      <c r="AK15" s="83"/>
      <c r="AL15" s="83"/>
      <c r="AM15" s="83"/>
      <c r="AN15" s="83"/>
      <c r="AO15" s="83"/>
    </row>
    <row r="16" spans="1:41" ht="39.75" x14ac:dyDescent="0.3">
      <c r="A16" s="78" t="s">
        <v>62</v>
      </c>
      <c r="B16" s="79"/>
      <c r="C16" s="80"/>
      <c r="D16" s="81">
        <v>7000</v>
      </c>
      <c r="E16" s="82">
        <v>0</v>
      </c>
      <c r="F16" s="76">
        <v>0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121"/>
      <c r="AK16" s="83"/>
      <c r="AL16" s="83"/>
      <c r="AM16" s="83"/>
      <c r="AN16" s="83"/>
      <c r="AO16" s="83"/>
    </row>
    <row r="17" spans="1:41" ht="27" x14ac:dyDescent="0.3">
      <c r="A17" s="85" t="s">
        <v>63</v>
      </c>
      <c r="B17" s="86"/>
      <c r="C17" s="87"/>
      <c r="D17" s="88">
        <v>7000</v>
      </c>
      <c r="E17" s="89">
        <v>0</v>
      </c>
      <c r="F17" s="76">
        <v>0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120"/>
      <c r="AK17" s="84"/>
      <c r="AL17" s="84"/>
      <c r="AM17" s="84"/>
      <c r="AN17" s="84"/>
      <c r="AO17" s="84"/>
    </row>
    <row r="18" spans="1:41" x14ac:dyDescent="0.3">
      <c r="A18" s="153" t="s">
        <v>64</v>
      </c>
      <c r="B18" s="154"/>
      <c r="C18" s="155"/>
      <c r="D18" s="159">
        <v>61500</v>
      </c>
      <c r="E18" s="141">
        <v>204000</v>
      </c>
      <c r="F18" s="141">
        <v>35</v>
      </c>
      <c r="G18" s="90">
        <v>2</v>
      </c>
      <c r="H18" s="90">
        <v>1</v>
      </c>
      <c r="I18" s="90">
        <v>1</v>
      </c>
      <c r="J18" s="90">
        <v>1</v>
      </c>
      <c r="K18" s="90">
        <v>2</v>
      </c>
      <c r="L18" s="90">
        <v>2</v>
      </c>
      <c r="M18" s="90">
        <v>2</v>
      </c>
      <c r="N18" s="90">
        <v>1</v>
      </c>
      <c r="O18" s="90">
        <v>2</v>
      </c>
      <c r="P18" s="90">
        <v>1</v>
      </c>
      <c r="Q18" s="90">
        <v>1</v>
      </c>
      <c r="R18" s="90">
        <v>1</v>
      </c>
      <c r="S18" s="90">
        <v>1</v>
      </c>
      <c r="T18" s="90">
        <v>1</v>
      </c>
      <c r="U18" s="90">
        <v>1</v>
      </c>
      <c r="V18" s="90">
        <v>2</v>
      </c>
      <c r="W18" s="90">
        <v>1</v>
      </c>
      <c r="X18" s="90">
        <v>2</v>
      </c>
      <c r="Y18" s="90">
        <v>1</v>
      </c>
      <c r="Z18" s="90">
        <v>3</v>
      </c>
      <c r="AA18" s="90">
        <v>1</v>
      </c>
      <c r="AB18" s="90">
        <v>1</v>
      </c>
      <c r="AC18" s="90">
        <v>1</v>
      </c>
      <c r="AD18" s="90">
        <v>1</v>
      </c>
      <c r="AE18" s="90">
        <v>2</v>
      </c>
      <c r="AF18" s="136"/>
      <c r="AG18" s="136"/>
      <c r="AH18" s="136"/>
      <c r="AI18" s="136"/>
      <c r="AJ18" s="137"/>
      <c r="AK18" s="138"/>
      <c r="AL18" s="138"/>
      <c r="AM18" s="138"/>
      <c r="AN18" s="138"/>
      <c r="AO18" s="138"/>
    </row>
    <row r="19" spans="1:41" x14ac:dyDescent="0.3">
      <c r="A19" s="156"/>
      <c r="B19" s="157"/>
      <c r="C19" s="158"/>
      <c r="D19" s="160"/>
      <c r="E19" s="142"/>
      <c r="F19" s="142"/>
      <c r="G19" s="91">
        <v>12500</v>
      </c>
      <c r="H19" s="92">
        <v>4000</v>
      </c>
      <c r="I19" s="92">
        <v>4000</v>
      </c>
      <c r="J19" s="92">
        <v>6000</v>
      </c>
      <c r="K19" s="92">
        <v>12500</v>
      </c>
      <c r="L19" s="92">
        <v>10000</v>
      </c>
      <c r="M19" s="92">
        <v>12500</v>
      </c>
      <c r="N19" s="92">
        <v>7000</v>
      </c>
      <c r="O19" s="92">
        <v>12500</v>
      </c>
      <c r="P19" s="92">
        <v>5500</v>
      </c>
      <c r="Q19" s="92">
        <v>5500</v>
      </c>
      <c r="R19" s="92">
        <v>5500</v>
      </c>
      <c r="S19" s="92">
        <v>6000</v>
      </c>
      <c r="T19" s="92">
        <v>5500</v>
      </c>
      <c r="U19" s="92">
        <v>6500</v>
      </c>
      <c r="V19" s="92">
        <v>11000</v>
      </c>
      <c r="W19" s="92">
        <v>5500</v>
      </c>
      <c r="X19" s="92">
        <v>12500</v>
      </c>
      <c r="Y19" s="92">
        <v>6500</v>
      </c>
      <c r="Z19" s="92">
        <v>17000</v>
      </c>
      <c r="AA19" s="92">
        <v>5000</v>
      </c>
      <c r="AB19" s="92">
        <v>4000</v>
      </c>
      <c r="AC19" s="92">
        <v>6500</v>
      </c>
      <c r="AD19" s="92">
        <v>6500</v>
      </c>
      <c r="AE19" s="92">
        <v>14000</v>
      </c>
      <c r="AF19" s="139"/>
      <c r="AG19" s="139"/>
      <c r="AH19" s="139"/>
      <c r="AI19" s="139"/>
      <c r="AJ19" s="140"/>
      <c r="AK19" s="139"/>
      <c r="AL19" s="139"/>
      <c r="AM19" s="139"/>
      <c r="AN19" s="139"/>
      <c r="AO19" s="139"/>
    </row>
  </sheetData>
  <mergeCells count="9">
    <mergeCell ref="F18:F19"/>
    <mergeCell ref="A2:A3"/>
    <mergeCell ref="B2:B3"/>
    <mergeCell ref="C2:C3"/>
    <mergeCell ref="D2:D3"/>
    <mergeCell ref="E2:E3"/>
    <mergeCell ref="A18:C19"/>
    <mergeCell ref="D18:D19"/>
    <mergeCell ref="E18:E19"/>
  </mergeCells>
  <phoneticPr fontId="4" type="noConversion"/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CCAD-76B4-49E7-8F47-C309EF8C92C7}">
  <dimension ref="A2:Q19"/>
  <sheetViews>
    <sheetView zoomScale="85" zoomScaleNormal="85" workbookViewId="0">
      <pane xSplit="1" topLeftCell="E1" activePane="topRight" state="frozen"/>
      <selection pane="topRight" activeCell="J8" sqref="J8"/>
    </sheetView>
  </sheetViews>
  <sheetFormatPr defaultRowHeight="16.5" x14ac:dyDescent="0.3"/>
  <sheetData>
    <row r="2" spans="1:17" ht="16.5" customHeight="1" x14ac:dyDescent="0.3">
      <c r="A2" s="143" t="s">
        <v>35</v>
      </c>
      <c r="B2" s="145" t="s">
        <v>36</v>
      </c>
      <c r="C2" s="147" t="s">
        <v>37</v>
      </c>
      <c r="D2" s="149" t="s">
        <v>38</v>
      </c>
      <c r="E2" s="151" t="s">
        <v>39</v>
      </c>
      <c r="F2" s="66" t="s">
        <v>40</v>
      </c>
      <c r="G2" s="67">
        <v>1</v>
      </c>
      <c r="H2" s="68">
        <v>2</v>
      </c>
      <c r="I2" s="68">
        <v>3</v>
      </c>
      <c r="J2" s="68">
        <v>4</v>
      </c>
      <c r="K2" s="68">
        <v>5</v>
      </c>
      <c r="L2" s="68">
        <v>6</v>
      </c>
      <c r="M2" s="68">
        <v>7</v>
      </c>
      <c r="N2" s="68">
        <v>8</v>
      </c>
      <c r="O2" s="68">
        <v>9</v>
      </c>
      <c r="P2" s="68">
        <v>10</v>
      </c>
      <c r="Q2" s="68">
        <v>11</v>
      </c>
    </row>
    <row r="3" spans="1:17" ht="39" customHeight="1" x14ac:dyDescent="0.3">
      <c r="A3" s="144"/>
      <c r="B3" s="146"/>
      <c r="C3" s="148"/>
      <c r="D3" s="150"/>
      <c r="E3" s="152"/>
      <c r="F3" s="69" t="s">
        <v>41</v>
      </c>
      <c r="G3" s="70">
        <v>1530</v>
      </c>
      <c r="H3" s="70">
        <v>1624</v>
      </c>
      <c r="I3" s="70">
        <v>1121</v>
      </c>
      <c r="J3" s="70">
        <v>1402</v>
      </c>
      <c r="K3" s="70">
        <v>1106</v>
      </c>
      <c r="L3" s="70">
        <v>1214</v>
      </c>
      <c r="M3" s="70">
        <v>1230</v>
      </c>
      <c r="N3" s="70">
        <v>1601</v>
      </c>
      <c r="O3" s="70">
        <v>1019</v>
      </c>
      <c r="P3" s="70">
        <v>730</v>
      </c>
      <c r="Q3" s="70">
        <v>1022</v>
      </c>
    </row>
    <row r="4" spans="1:17" ht="39.75" x14ac:dyDescent="0.3">
      <c r="A4" s="71" t="s">
        <v>42</v>
      </c>
      <c r="B4" s="72" t="s">
        <v>79</v>
      </c>
      <c r="C4" s="73"/>
      <c r="D4" s="74">
        <v>6000</v>
      </c>
      <c r="E4" s="75">
        <v>54000</v>
      </c>
      <c r="F4" s="76">
        <v>9</v>
      </c>
      <c r="G4" s="77"/>
      <c r="H4" s="105">
        <v>1</v>
      </c>
      <c r="I4" s="77"/>
      <c r="J4" s="77"/>
      <c r="K4" s="77"/>
      <c r="L4" s="77"/>
      <c r="M4" s="77"/>
      <c r="N4" s="105">
        <v>1</v>
      </c>
      <c r="O4" s="77"/>
      <c r="P4" s="77"/>
      <c r="Q4" s="77"/>
    </row>
    <row r="5" spans="1:17" ht="39.75" x14ac:dyDescent="0.3">
      <c r="A5" s="78" t="s">
        <v>44</v>
      </c>
      <c r="B5" s="79" t="s">
        <v>79</v>
      </c>
      <c r="C5" s="80"/>
      <c r="D5" s="81">
        <v>6500</v>
      </c>
      <c r="E5" s="82">
        <v>58500</v>
      </c>
      <c r="F5" s="76">
        <v>9</v>
      </c>
      <c r="G5" s="103">
        <v>1</v>
      </c>
      <c r="H5" s="83"/>
      <c r="I5" s="83"/>
      <c r="J5" s="104">
        <v>1</v>
      </c>
      <c r="K5" s="83"/>
      <c r="L5" s="83"/>
      <c r="M5" s="83"/>
      <c r="N5" s="83"/>
      <c r="O5" s="103">
        <v>1</v>
      </c>
      <c r="P5" s="83"/>
      <c r="Q5" s="83"/>
    </row>
    <row r="6" spans="1:17" ht="39.75" x14ac:dyDescent="0.3">
      <c r="A6" s="78" t="s">
        <v>46</v>
      </c>
      <c r="B6" s="79" t="s">
        <v>86</v>
      </c>
      <c r="C6" s="80"/>
      <c r="D6" s="81">
        <v>7000</v>
      </c>
      <c r="E6" s="82">
        <v>0</v>
      </c>
      <c r="F6" s="76">
        <v>0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</row>
    <row r="7" spans="1:17" ht="26.25" x14ac:dyDescent="0.3">
      <c r="A7" s="78" t="s">
        <v>48</v>
      </c>
      <c r="B7" s="79" t="s">
        <v>69</v>
      </c>
      <c r="C7" s="80"/>
      <c r="D7" s="81">
        <v>5500</v>
      </c>
      <c r="E7" s="82">
        <v>38500</v>
      </c>
      <c r="F7" s="76">
        <v>7</v>
      </c>
      <c r="G7" s="107">
        <v>1</v>
      </c>
      <c r="H7" s="103">
        <v>2</v>
      </c>
      <c r="I7" s="83"/>
      <c r="J7" s="83"/>
      <c r="K7" s="104">
        <v>1</v>
      </c>
      <c r="L7" s="103">
        <v>2</v>
      </c>
      <c r="M7" s="104">
        <v>2</v>
      </c>
      <c r="N7" s="83"/>
      <c r="O7" s="83"/>
      <c r="P7" s="104">
        <v>1</v>
      </c>
      <c r="Q7" s="83"/>
    </row>
    <row r="8" spans="1:17" ht="26.25" x14ac:dyDescent="0.3">
      <c r="A8" s="78" t="s">
        <v>50</v>
      </c>
      <c r="B8" s="79" t="s">
        <v>72</v>
      </c>
      <c r="C8" s="80"/>
      <c r="D8" s="81">
        <v>4000</v>
      </c>
      <c r="E8" s="82">
        <v>0</v>
      </c>
      <c r="F8" s="76">
        <v>0</v>
      </c>
      <c r="G8" s="83"/>
      <c r="H8" s="83"/>
      <c r="I8" s="83"/>
      <c r="J8" s="83"/>
      <c r="K8" s="83"/>
      <c r="L8" s="107">
        <v>1</v>
      </c>
      <c r="M8" s="83"/>
      <c r="N8" s="83"/>
      <c r="O8" s="83"/>
      <c r="P8" s="83"/>
      <c r="Q8" s="83"/>
    </row>
    <row r="9" spans="1:17" ht="27" x14ac:dyDescent="0.3">
      <c r="A9" s="78" t="s">
        <v>52</v>
      </c>
      <c r="B9" s="79" t="s">
        <v>83</v>
      </c>
      <c r="C9" s="80"/>
      <c r="D9" s="81">
        <v>4000</v>
      </c>
      <c r="E9" s="82">
        <v>12000</v>
      </c>
      <c r="F9" s="76">
        <v>3</v>
      </c>
      <c r="G9" s="83"/>
      <c r="H9" s="83"/>
      <c r="I9" s="83"/>
      <c r="J9" s="83"/>
      <c r="K9" s="83"/>
      <c r="L9" s="107">
        <v>1</v>
      </c>
      <c r="M9" s="83"/>
      <c r="N9" s="83"/>
      <c r="O9" s="103">
        <v>1</v>
      </c>
      <c r="P9" s="83"/>
      <c r="Q9" s="103">
        <v>1</v>
      </c>
    </row>
    <row r="10" spans="1:17" ht="39" x14ac:dyDescent="0.3">
      <c r="A10" s="78" t="s">
        <v>54</v>
      </c>
      <c r="B10" s="79" t="s">
        <v>84</v>
      </c>
      <c r="C10" s="80"/>
      <c r="D10" s="81">
        <v>4000</v>
      </c>
      <c r="E10" s="82">
        <v>8000</v>
      </c>
      <c r="F10" s="76">
        <v>2</v>
      </c>
      <c r="G10" s="83"/>
      <c r="H10" s="83"/>
      <c r="I10" s="104">
        <v>1</v>
      </c>
      <c r="J10" s="83"/>
      <c r="K10" s="83"/>
      <c r="L10" s="107">
        <v>1</v>
      </c>
      <c r="M10" s="83"/>
      <c r="N10" s="83"/>
      <c r="O10" s="83"/>
      <c r="P10" s="83"/>
      <c r="Q10" s="83"/>
    </row>
    <row r="11" spans="1:17" ht="26.25" x14ac:dyDescent="0.3">
      <c r="A11" s="78" t="s">
        <v>56</v>
      </c>
      <c r="B11" s="79" t="s">
        <v>71</v>
      </c>
      <c r="C11" s="80"/>
      <c r="D11" s="81">
        <v>5000</v>
      </c>
      <c r="E11" s="82">
        <v>5000</v>
      </c>
      <c r="F11" s="76">
        <v>1</v>
      </c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</row>
    <row r="12" spans="1:17" ht="39" x14ac:dyDescent="0.3">
      <c r="A12" s="78" t="s">
        <v>57</v>
      </c>
      <c r="B12" s="79" t="s">
        <v>77</v>
      </c>
      <c r="C12" s="80"/>
      <c r="D12" s="81">
        <v>7000</v>
      </c>
      <c r="E12" s="82">
        <v>14000</v>
      </c>
      <c r="F12" s="76">
        <v>2</v>
      </c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</row>
    <row r="13" spans="1:17" ht="26.25" x14ac:dyDescent="0.3">
      <c r="A13" s="78" t="s">
        <v>58</v>
      </c>
      <c r="B13" s="79" t="s">
        <v>85</v>
      </c>
      <c r="C13" s="80"/>
      <c r="D13" s="81">
        <v>7000</v>
      </c>
      <c r="E13" s="82">
        <v>14000</v>
      </c>
      <c r="F13" s="76">
        <v>2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</row>
    <row r="14" spans="1:17" ht="26.25" x14ac:dyDescent="0.3">
      <c r="A14" s="78" t="s">
        <v>60</v>
      </c>
      <c r="B14" s="79"/>
      <c r="C14" s="80"/>
      <c r="D14" s="81">
        <v>7000</v>
      </c>
      <c r="E14" s="82">
        <v>0</v>
      </c>
      <c r="F14" s="76">
        <v>0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</row>
    <row r="15" spans="1:17" ht="40.5" x14ac:dyDescent="0.3">
      <c r="A15" s="78" t="s">
        <v>61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</row>
    <row r="16" spans="1:17" ht="39.75" x14ac:dyDescent="0.3">
      <c r="A16" s="78" t="s">
        <v>62</v>
      </c>
      <c r="B16" s="79"/>
      <c r="C16" s="80"/>
      <c r="D16" s="81">
        <v>7000</v>
      </c>
      <c r="E16" s="82">
        <v>0</v>
      </c>
      <c r="F16" s="76">
        <v>0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</row>
    <row r="17" spans="1:17" ht="27" x14ac:dyDescent="0.3">
      <c r="A17" s="85" t="s">
        <v>63</v>
      </c>
      <c r="B17" s="86"/>
      <c r="C17" s="87"/>
      <c r="D17" s="88">
        <v>7000</v>
      </c>
      <c r="E17" s="89">
        <v>0</v>
      </c>
      <c r="F17" s="76">
        <v>0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</row>
    <row r="18" spans="1:17" x14ac:dyDescent="0.3">
      <c r="A18" s="153" t="s">
        <v>64</v>
      </c>
      <c r="B18" s="154"/>
      <c r="C18" s="155"/>
      <c r="D18" s="159">
        <v>61500</v>
      </c>
      <c r="E18" s="141">
        <v>204000</v>
      </c>
      <c r="F18" s="141">
        <v>35</v>
      </c>
      <c r="G18" s="90">
        <v>2</v>
      </c>
      <c r="H18" s="90">
        <v>3</v>
      </c>
      <c r="I18" s="90">
        <v>1</v>
      </c>
      <c r="J18" s="90">
        <v>1</v>
      </c>
      <c r="K18" s="90">
        <v>1</v>
      </c>
      <c r="L18" s="90">
        <v>5</v>
      </c>
      <c r="M18" s="90">
        <v>2</v>
      </c>
      <c r="N18" s="90">
        <v>1</v>
      </c>
      <c r="O18" s="90">
        <v>2</v>
      </c>
      <c r="P18" s="90">
        <v>1</v>
      </c>
      <c r="Q18" s="90">
        <v>1</v>
      </c>
    </row>
    <row r="19" spans="1:17" x14ac:dyDescent="0.3">
      <c r="A19" s="156"/>
      <c r="B19" s="157"/>
      <c r="C19" s="158"/>
      <c r="D19" s="160"/>
      <c r="E19" s="142"/>
      <c r="F19" s="142"/>
      <c r="G19" s="91">
        <v>12000</v>
      </c>
      <c r="H19" s="92">
        <v>17000</v>
      </c>
      <c r="I19" s="92">
        <v>4000</v>
      </c>
      <c r="J19" s="92">
        <v>6500</v>
      </c>
      <c r="K19" s="92">
        <v>5500</v>
      </c>
      <c r="L19" s="92">
        <v>23000</v>
      </c>
      <c r="M19" s="92">
        <v>11000</v>
      </c>
      <c r="N19" s="92">
        <v>6000</v>
      </c>
      <c r="O19" s="92">
        <v>10500</v>
      </c>
      <c r="P19" s="92">
        <v>5500</v>
      </c>
      <c r="Q19" s="92">
        <v>4000</v>
      </c>
    </row>
  </sheetData>
  <mergeCells count="9">
    <mergeCell ref="F18:F19"/>
    <mergeCell ref="A2:A3"/>
    <mergeCell ref="B2:B3"/>
    <mergeCell ref="C2:C3"/>
    <mergeCell ref="D2:D3"/>
    <mergeCell ref="E2:E3"/>
    <mergeCell ref="A18:C19"/>
    <mergeCell ref="D18:D19"/>
    <mergeCell ref="E18:E19"/>
  </mergeCells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E807-8477-42B9-A5F4-AE2DB3ADE495}">
  <dimension ref="A2:AA19"/>
  <sheetViews>
    <sheetView tabSelected="1" zoomScale="85" zoomScaleNormal="85" workbookViewId="0">
      <pane xSplit="1" topLeftCell="T1" activePane="topRight" state="frozen"/>
      <selection pane="topRight" activeCell="X9" activeCellId="2" sqref="X7 W7 X9"/>
    </sheetView>
  </sheetViews>
  <sheetFormatPr defaultRowHeight="16.5" x14ac:dyDescent="0.3"/>
  <sheetData>
    <row r="2" spans="1:27" ht="16.5" customHeight="1" x14ac:dyDescent="0.3">
      <c r="A2" s="143" t="s">
        <v>35</v>
      </c>
      <c r="B2" s="145" t="s">
        <v>36</v>
      </c>
      <c r="C2" s="147" t="s">
        <v>37</v>
      </c>
      <c r="D2" s="149" t="s">
        <v>38</v>
      </c>
      <c r="E2" s="151" t="s">
        <v>39</v>
      </c>
      <c r="F2" s="66" t="s">
        <v>40</v>
      </c>
      <c r="G2" s="67">
        <v>1</v>
      </c>
      <c r="H2" s="68">
        <v>2</v>
      </c>
      <c r="I2" s="68">
        <v>3</v>
      </c>
      <c r="J2" s="68">
        <v>4</v>
      </c>
      <c r="K2" s="68">
        <v>5</v>
      </c>
      <c r="L2" s="68">
        <v>6</v>
      </c>
      <c r="M2" s="68">
        <v>7</v>
      </c>
      <c r="N2" s="68">
        <v>8</v>
      </c>
      <c r="O2" s="68">
        <v>9</v>
      </c>
      <c r="P2" s="68">
        <v>10</v>
      </c>
      <c r="Q2" s="68">
        <v>11</v>
      </c>
      <c r="R2" s="68">
        <v>12</v>
      </c>
      <c r="S2" s="68">
        <v>13</v>
      </c>
      <c r="T2" s="68">
        <v>14</v>
      </c>
      <c r="U2" s="68">
        <v>15</v>
      </c>
      <c r="V2" s="68">
        <v>16</v>
      </c>
      <c r="W2" s="68">
        <v>17</v>
      </c>
      <c r="X2" s="67">
        <v>18</v>
      </c>
      <c r="Y2" s="68">
        <v>19</v>
      </c>
      <c r="Z2" s="68">
        <v>20</v>
      </c>
      <c r="AA2" s="68">
        <v>21</v>
      </c>
    </row>
    <row r="3" spans="1:27" ht="39" customHeight="1" x14ac:dyDescent="0.3">
      <c r="A3" s="144"/>
      <c r="B3" s="146"/>
      <c r="C3" s="148"/>
      <c r="D3" s="150"/>
      <c r="E3" s="152"/>
      <c r="F3" s="69" t="s">
        <v>41</v>
      </c>
      <c r="G3" s="70">
        <v>1017</v>
      </c>
      <c r="H3" s="70">
        <v>601</v>
      </c>
      <c r="I3" s="70">
        <v>1020</v>
      </c>
      <c r="J3" s="70">
        <v>1802</v>
      </c>
      <c r="K3" s="70">
        <v>1222</v>
      </c>
      <c r="L3" s="70">
        <v>917</v>
      </c>
      <c r="M3" s="70">
        <v>1428</v>
      </c>
      <c r="N3" s="70">
        <v>817</v>
      </c>
      <c r="O3" s="70">
        <v>621</v>
      </c>
      <c r="P3" s="70">
        <v>722</v>
      </c>
      <c r="Q3" s="70">
        <v>1125</v>
      </c>
      <c r="R3" s="70">
        <v>1402</v>
      </c>
      <c r="S3" s="70">
        <v>1031</v>
      </c>
      <c r="T3" s="70">
        <v>1202</v>
      </c>
      <c r="U3" s="70">
        <v>1121</v>
      </c>
      <c r="V3" s="70">
        <v>1419</v>
      </c>
      <c r="W3" s="70">
        <v>514</v>
      </c>
      <c r="X3" s="70">
        <v>528</v>
      </c>
      <c r="Y3" s="70">
        <v>1623</v>
      </c>
      <c r="Z3" s="70">
        <v>715</v>
      </c>
      <c r="AA3" s="70">
        <v>708</v>
      </c>
    </row>
    <row r="4" spans="1:27" ht="39.75" x14ac:dyDescent="0.3">
      <c r="A4" s="71" t="s">
        <v>42</v>
      </c>
      <c r="B4" s="72" t="s">
        <v>79</v>
      </c>
      <c r="C4" s="73"/>
      <c r="D4" s="74">
        <v>6000</v>
      </c>
      <c r="E4" s="75">
        <v>54000</v>
      </c>
      <c r="F4" s="76">
        <v>9</v>
      </c>
      <c r="G4" s="77"/>
      <c r="H4" s="77"/>
      <c r="I4" s="77"/>
      <c r="J4" s="77"/>
      <c r="K4" s="77"/>
      <c r="L4" s="77"/>
      <c r="M4" s="77"/>
      <c r="N4" s="77"/>
      <c r="O4" s="106">
        <v>1</v>
      </c>
      <c r="P4" s="77"/>
      <c r="Q4" s="77"/>
      <c r="R4" s="77"/>
      <c r="S4" s="77"/>
      <c r="T4" s="77"/>
      <c r="U4" s="77"/>
      <c r="V4" s="106">
        <v>1</v>
      </c>
      <c r="W4" s="77"/>
      <c r="X4" s="77"/>
      <c r="Y4" s="77"/>
      <c r="Z4" s="106">
        <v>1</v>
      </c>
      <c r="AA4" s="77"/>
    </row>
    <row r="5" spans="1:27" ht="39.75" x14ac:dyDescent="0.3">
      <c r="A5" s="78" t="s">
        <v>44</v>
      </c>
      <c r="B5" s="79" t="s">
        <v>79</v>
      </c>
      <c r="C5" s="80"/>
      <c r="D5" s="81">
        <v>6500</v>
      </c>
      <c r="E5" s="82">
        <v>58500</v>
      </c>
      <c r="F5" s="76">
        <v>9</v>
      </c>
      <c r="G5" s="104">
        <v>1</v>
      </c>
      <c r="H5" s="83"/>
      <c r="I5" s="83"/>
      <c r="J5" s="104">
        <v>1</v>
      </c>
      <c r="K5" s="83"/>
      <c r="L5" s="107">
        <v>1</v>
      </c>
      <c r="M5" s="83"/>
      <c r="N5" s="83"/>
      <c r="O5" s="104">
        <v>1</v>
      </c>
      <c r="P5" s="83"/>
      <c r="Q5" s="104">
        <v>1</v>
      </c>
      <c r="R5" s="104">
        <v>1</v>
      </c>
      <c r="S5" s="83"/>
      <c r="T5" s="83"/>
      <c r="U5" s="83"/>
      <c r="V5" s="83"/>
      <c r="W5" s="83"/>
      <c r="X5" s="83"/>
      <c r="Y5" s="83"/>
      <c r="Z5" s="83"/>
      <c r="AA5" s="83"/>
    </row>
    <row r="6" spans="1:27" ht="39.75" x14ac:dyDescent="0.3">
      <c r="A6" s="78" t="s">
        <v>46</v>
      </c>
      <c r="B6" s="79" t="s">
        <v>86</v>
      </c>
      <c r="C6" s="80"/>
      <c r="D6" s="81">
        <v>7000</v>
      </c>
      <c r="E6" s="82">
        <v>0</v>
      </c>
      <c r="F6" s="76">
        <v>0</v>
      </c>
      <c r="G6" s="83"/>
      <c r="H6" s="83"/>
      <c r="I6" s="104">
        <v>1</v>
      </c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</row>
    <row r="7" spans="1:27" ht="26.25" x14ac:dyDescent="0.3">
      <c r="A7" s="78" t="s">
        <v>48</v>
      </c>
      <c r="B7" s="79" t="s">
        <v>69</v>
      </c>
      <c r="C7" s="80"/>
      <c r="D7" s="81">
        <v>5500</v>
      </c>
      <c r="E7" s="82">
        <v>38500</v>
      </c>
      <c r="F7" s="76">
        <v>7</v>
      </c>
      <c r="G7" s="83"/>
      <c r="H7" s="103">
        <v>1</v>
      </c>
      <c r="I7" s="83"/>
      <c r="J7" s="83"/>
      <c r="K7" s="83"/>
      <c r="L7" s="83"/>
      <c r="M7" s="103">
        <v>1</v>
      </c>
      <c r="N7" s="103">
        <v>1</v>
      </c>
      <c r="O7" s="83"/>
      <c r="P7" s="83"/>
      <c r="Q7" s="83"/>
      <c r="R7" s="83"/>
      <c r="S7" s="104">
        <v>2</v>
      </c>
      <c r="T7" s="83"/>
      <c r="U7" s="83"/>
      <c r="V7" s="83"/>
      <c r="W7" s="104">
        <v>2</v>
      </c>
      <c r="X7" s="104">
        <v>2</v>
      </c>
      <c r="Y7" s="107">
        <v>1</v>
      </c>
      <c r="Z7" s="83"/>
      <c r="AA7" s="103">
        <v>1</v>
      </c>
    </row>
    <row r="8" spans="1:27" ht="26.25" x14ac:dyDescent="0.3">
      <c r="A8" s="78" t="s">
        <v>50</v>
      </c>
      <c r="B8" s="79" t="s">
        <v>72</v>
      </c>
      <c r="C8" s="80"/>
      <c r="D8" s="81">
        <v>4000</v>
      </c>
      <c r="E8" s="82">
        <v>0</v>
      </c>
      <c r="F8" s="76">
        <v>0</v>
      </c>
      <c r="G8" s="83"/>
      <c r="H8" s="83"/>
      <c r="I8" s="83"/>
      <c r="J8" s="83"/>
      <c r="K8" s="83"/>
      <c r="L8" s="83"/>
      <c r="M8" s="83"/>
      <c r="N8" s="103">
        <v>1</v>
      </c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</row>
    <row r="9" spans="1:27" ht="27" x14ac:dyDescent="0.3">
      <c r="A9" s="78" t="s">
        <v>52</v>
      </c>
      <c r="B9" s="79" t="s">
        <v>83</v>
      </c>
      <c r="C9" s="80"/>
      <c r="D9" s="81">
        <v>4000</v>
      </c>
      <c r="E9" s="82">
        <v>12000</v>
      </c>
      <c r="F9" s="76">
        <v>3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104">
        <v>1</v>
      </c>
      <c r="Y9" s="83"/>
      <c r="Z9" s="83"/>
      <c r="AA9" s="83"/>
    </row>
    <row r="10" spans="1:27" ht="39" x14ac:dyDescent="0.3">
      <c r="A10" s="78" t="s">
        <v>54</v>
      </c>
      <c r="B10" s="79" t="s">
        <v>84</v>
      </c>
      <c r="C10" s="80"/>
      <c r="D10" s="81">
        <v>4000</v>
      </c>
      <c r="E10" s="82">
        <v>8000</v>
      </c>
      <c r="F10" s="76">
        <v>2</v>
      </c>
      <c r="G10" s="83"/>
      <c r="H10" s="83"/>
      <c r="I10" s="83"/>
      <c r="J10" s="83"/>
      <c r="K10" s="83"/>
      <c r="L10" s="83"/>
      <c r="M10" s="103">
        <v>1</v>
      </c>
      <c r="N10" s="83"/>
      <c r="O10" s="83"/>
      <c r="P10" s="83"/>
      <c r="Q10" s="83"/>
      <c r="R10" s="83"/>
      <c r="S10" s="83"/>
      <c r="T10" s="83"/>
      <c r="U10" s="103">
        <v>1</v>
      </c>
      <c r="V10" s="83"/>
      <c r="W10" s="83"/>
      <c r="X10" s="83"/>
      <c r="Y10" s="83"/>
      <c r="Z10" s="83"/>
      <c r="AA10" s="83"/>
    </row>
    <row r="11" spans="1:27" ht="26.25" x14ac:dyDescent="0.3">
      <c r="A11" s="78" t="s">
        <v>56</v>
      </c>
      <c r="B11" s="79" t="s">
        <v>71</v>
      </c>
      <c r="C11" s="80"/>
      <c r="D11" s="81">
        <v>5000</v>
      </c>
      <c r="E11" s="82">
        <v>5000</v>
      </c>
      <c r="F11" s="76">
        <v>1</v>
      </c>
      <c r="G11" s="84"/>
      <c r="H11" s="84"/>
      <c r="I11" s="84"/>
      <c r="J11" s="84"/>
      <c r="K11" s="108">
        <v>1</v>
      </c>
      <c r="L11" s="84"/>
      <c r="M11" s="127">
        <v>1</v>
      </c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</row>
    <row r="12" spans="1:27" ht="39" x14ac:dyDescent="0.3">
      <c r="A12" s="78" t="s">
        <v>57</v>
      </c>
      <c r="B12" s="79" t="s">
        <v>77</v>
      </c>
      <c r="C12" s="80"/>
      <c r="D12" s="81">
        <v>7000</v>
      </c>
      <c r="E12" s="82">
        <v>14000</v>
      </c>
      <c r="F12" s="76">
        <v>2</v>
      </c>
      <c r="G12" s="83"/>
      <c r="H12" s="83"/>
      <c r="I12" s="83"/>
      <c r="J12" s="104">
        <v>1</v>
      </c>
      <c r="K12" s="83"/>
      <c r="L12" s="83"/>
      <c r="M12" s="83"/>
      <c r="N12" s="83"/>
      <c r="O12" s="83"/>
      <c r="P12" s="103">
        <v>1</v>
      </c>
      <c r="Q12" s="83"/>
      <c r="R12" s="83"/>
      <c r="S12" s="83"/>
      <c r="T12" s="104">
        <v>1</v>
      </c>
      <c r="U12" s="83"/>
      <c r="V12" s="83"/>
      <c r="W12" s="83"/>
      <c r="X12" s="83"/>
      <c r="Y12" s="83"/>
      <c r="Z12" s="83"/>
      <c r="AA12" s="83"/>
    </row>
    <row r="13" spans="1:27" ht="26.25" x14ac:dyDescent="0.3">
      <c r="A13" s="78" t="s">
        <v>58</v>
      </c>
      <c r="B13" s="79" t="s">
        <v>85</v>
      </c>
      <c r="C13" s="80"/>
      <c r="D13" s="81">
        <v>7000</v>
      </c>
      <c r="E13" s="82">
        <v>14000</v>
      </c>
      <c r="F13" s="76">
        <v>2</v>
      </c>
      <c r="G13" s="83"/>
      <c r="H13" s="83"/>
      <c r="I13" s="83"/>
      <c r="J13" s="104">
        <v>1</v>
      </c>
      <c r="K13" s="83"/>
      <c r="L13" s="83"/>
      <c r="M13" s="83"/>
      <c r="N13" s="83"/>
      <c r="O13" s="83"/>
      <c r="P13" s="103">
        <v>1</v>
      </c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 spans="1:27" ht="26.25" x14ac:dyDescent="0.3">
      <c r="A14" s="78" t="s">
        <v>60</v>
      </c>
      <c r="B14" s="79"/>
      <c r="C14" s="80"/>
      <c r="D14" s="81">
        <v>7000</v>
      </c>
      <c r="E14" s="82">
        <v>0</v>
      </c>
      <c r="F14" s="76">
        <v>0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</row>
    <row r="15" spans="1:27" ht="40.5" x14ac:dyDescent="0.3">
      <c r="A15" s="78" t="s">
        <v>61</v>
      </c>
      <c r="B15" s="79"/>
      <c r="C15" s="80"/>
      <c r="D15" s="81">
        <v>7000</v>
      </c>
      <c r="E15" s="82">
        <v>0</v>
      </c>
      <c r="F15" s="76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 spans="1:27" ht="39.75" x14ac:dyDescent="0.3">
      <c r="A16" s="78" t="s">
        <v>62</v>
      </c>
      <c r="B16" s="79"/>
      <c r="C16" s="80"/>
      <c r="D16" s="81">
        <v>7000</v>
      </c>
      <c r="E16" s="82">
        <v>0</v>
      </c>
      <c r="F16" s="76">
        <v>0</v>
      </c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</row>
    <row r="17" spans="1:27" ht="27" x14ac:dyDescent="0.3">
      <c r="A17" s="85" t="s">
        <v>63</v>
      </c>
      <c r="B17" s="86"/>
      <c r="C17" s="87"/>
      <c r="D17" s="88">
        <v>7000</v>
      </c>
      <c r="E17" s="89">
        <v>0</v>
      </c>
      <c r="F17" s="76">
        <v>0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</row>
    <row r="18" spans="1:27" x14ac:dyDescent="0.3">
      <c r="A18" s="153" t="s">
        <v>64</v>
      </c>
      <c r="B18" s="154"/>
      <c r="C18" s="155"/>
      <c r="D18" s="159">
        <v>61500</v>
      </c>
      <c r="E18" s="141">
        <v>204000</v>
      </c>
      <c r="F18" s="141">
        <v>35</v>
      </c>
      <c r="G18" s="90">
        <v>1</v>
      </c>
      <c r="H18" s="90">
        <v>1</v>
      </c>
      <c r="I18" s="90">
        <v>1</v>
      </c>
      <c r="J18" s="90">
        <v>3</v>
      </c>
      <c r="K18" s="90">
        <v>1</v>
      </c>
      <c r="L18" s="90">
        <v>1</v>
      </c>
      <c r="M18" s="90">
        <v>3</v>
      </c>
      <c r="N18" s="90">
        <v>2</v>
      </c>
      <c r="O18" s="90">
        <v>2</v>
      </c>
      <c r="P18" s="90">
        <v>2</v>
      </c>
      <c r="Q18" s="90">
        <v>1</v>
      </c>
      <c r="R18" s="90">
        <v>1</v>
      </c>
      <c r="S18" s="90">
        <v>2</v>
      </c>
      <c r="T18" s="90">
        <v>1</v>
      </c>
      <c r="U18" s="90">
        <v>1</v>
      </c>
      <c r="V18" s="90">
        <v>1</v>
      </c>
      <c r="W18" s="90">
        <v>2</v>
      </c>
      <c r="X18" s="90">
        <v>3</v>
      </c>
      <c r="Y18" s="90">
        <v>1</v>
      </c>
      <c r="Z18" s="90">
        <v>1</v>
      </c>
      <c r="AA18" s="90">
        <v>1</v>
      </c>
    </row>
    <row r="19" spans="1:27" x14ac:dyDescent="0.3">
      <c r="A19" s="156"/>
      <c r="B19" s="157"/>
      <c r="C19" s="158"/>
      <c r="D19" s="160"/>
      <c r="E19" s="142"/>
      <c r="F19" s="142"/>
      <c r="G19" s="91">
        <v>6500</v>
      </c>
      <c r="H19" s="92">
        <v>5500</v>
      </c>
      <c r="I19" s="92">
        <v>7000</v>
      </c>
      <c r="J19" s="92">
        <v>20500</v>
      </c>
      <c r="K19" s="92">
        <v>5000</v>
      </c>
      <c r="L19" s="92">
        <v>6500</v>
      </c>
      <c r="M19" s="92">
        <v>14500</v>
      </c>
      <c r="N19" s="92">
        <v>9500</v>
      </c>
      <c r="O19" s="92">
        <v>12500</v>
      </c>
      <c r="P19" s="92">
        <v>14000</v>
      </c>
      <c r="Q19" s="92">
        <v>6500</v>
      </c>
      <c r="R19" s="92">
        <v>6500</v>
      </c>
      <c r="S19" s="92">
        <v>11000</v>
      </c>
      <c r="T19" s="92">
        <v>7000</v>
      </c>
      <c r="U19" s="92">
        <v>4000</v>
      </c>
      <c r="V19" s="92">
        <v>6000</v>
      </c>
      <c r="W19" s="92">
        <v>11000</v>
      </c>
      <c r="X19" s="92">
        <v>15000</v>
      </c>
      <c r="Y19" s="92">
        <v>5500</v>
      </c>
      <c r="Z19" s="92">
        <v>6000</v>
      </c>
      <c r="AA19" s="92">
        <v>5500</v>
      </c>
    </row>
  </sheetData>
  <mergeCells count="9">
    <mergeCell ref="F18:F19"/>
    <mergeCell ref="A2:A3"/>
    <mergeCell ref="B2:B3"/>
    <mergeCell ref="C2:C3"/>
    <mergeCell ref="D2:D3"/>
    <mergeCell ref="E2:E3"/>
    <mergeCell ref="A18:C19"/>
    <mergeCell ref="D18:D19"/>
    <mergeCell ref="E18:E19"/>
  </mergeCells>
  <phoneticPr fontId="4" type="noConversion"/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U34"/>
  <sheetViews>
    <sheetView workbookViewId="0">
      <selection activeCell="Y3" sqref="Y3:AB17"/>
    </sheetView>
  </sheetViews>
  <sheetFormatPr defaultRowHeight="16.5" x14ac:dyDescent="0.3"/>
  <cols>
    <col min="3" max="17" width="5.625" customWidth="1"/>
  </cols>
  <sheetData>
    <row r="2" spans="1:21" ht="17.25" thickBot="1" x14ac:dyDescent="0.35"/>
    <row r="3" spans="1:21" ht="18" thickTop="1" thickBot="1" x14ac:dyDescent="0.35">
      <c r="A3" s="29" t="s">
        <v>19</v>
      </c>
      <c r="B3" s="30" t="s">
        <v>20</v>
      </c>
      <c r="C3" s="35">
        <v>1017</v>
      </c>
      <c r="D3" s="35">
        <v>1201</v>
      </c>
      <c r="E3" s="35">
        <v>1205</v>
      </c>
      <c r="F3" s="35">
        <v>916</v>
      </c>
      <c r="G3" s="36">
        <v>1431</v>
      </c>
      <c r="H3" s="37">
        <v>1026</v>
      </c>
      <c r="I3" s="35">
        <v>1705</v>
      </c>
      <c r="J3" s="35">
        <v>1527</v>
      </c>
      <c r="K3" s="35">
        <v>1031</v>
      </c>
      <c r="L3" s="35">
        <v>1405</v>
      </c>
      <c r="M3" s="35">
        <v>1026</v>
      </c>
      <c r="N3" s="36">
        <v>722</v>
      </c>
      <c r="O3" s="37">
        <v>1527</v>
      </c>
      <c r="P3" s="35">
        <v>1025</v>
      </c>
      <c r="Q3" s="35">
        <v>824</v>
      </c>
      <c r="R3" s="186"/>
      <c r="S3" s="184" t="s">
        <v>13</v>
      </c>
    </row>
    <row r="4" spans="1:21" ht="18" thickTop="1" thickBot="1" x14ac:dyDescent="0.35">
      <c r="A4" s="32" t="s">
        <v>21</v>
      </c>
      <c r="B4" s="28">
        <v>5500</v>
      </c>
      <c r="C4" s="16">
        <v>1</v>
      </c>
      <c r="D4" s="38"/>
      <c r="E4" s="38"/>
      <c r="F4" s="38"/>
      <c r="G4" s="50">
        <v>2</v>
      </c>
      <c r="H4" s="6">
        <v>1</v>
      </c>
      <c r="I4" s="6">
        <v>1</v>
      </c>
      <c r="J4" s="39"/>
      <c r="K4" s="38"/>
      <c r="L4" s="16">
        <v>1</v>
      </c>
      <c r="M4" s="38"/>
      <c r="N4" s="38"/>
      <c r="O4" s="18"/>
      <c r="P4" s="6">
        <v>1</v>
      </c>
      <c r="Q4" s="6">
        <v>1</v>
      </c>
      <c r="R4" s="187"/>
      <c r="S4" s="185"/>
    </row>
    <row r="5" spans="1:21" x14ac:dyDescent="0.3">
      <c r="A5" s="32" t="s">
        <v>22</v>
      </c>
      <c r="B5" s="27">
        <v>5500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7">
        <v>1</v>
      </c>
      <c r="N5" s="40"/>
      <c r="O5" s="41"/>
      <c r="P5" s="22"/>
      <c r="Q5" s="22"/>
      <c r="R5" s="188"/>
      <c r="S5" s="184" t="s">
        <v>14</v>
      </c>
    </row>
    <row r="6" spans="1:21" ht="17.25" thickBot="1" x14ac:dyDescent="0.35">
      <c r="A6" s="32" t="s">
        <v>23</v>
      </c>
      <c r="B6" s="28">
        <v>4400</v>
      </c>
      <c r="C6" s="42"/>
      <c r="D6" s="42"/>
      <c r="E6" s="42"/>
      <c r="F6" s="42"/>
      <c r="G6" s="42"/>
      <c r="H6" s="42"/>
      <c r="I6" s="7">
        <v>1</v>
      </c>
      <c r="J6" s="42"/>
      <c r="K6" s="42"/>
      <c r="L6" s="42"/>
      <c r="M6" s="42"/>
      <c r="N6" s="42"/>
      <c r="O6" s="43"/>
      <c r="P6" s="23"/>
      <c r="Q6" s="23"/>
      <c r="R6" s="189"/>
      <c r="S6" s="185"/>
    </row>
    <row r="7" spans="1:21" x14ac:dyDescent="0.3">
      <c r="A7" s="33" t="s">
        <v>24</v>
      </c>
      <c r="B7" s="28">
        <v>4400</v>
      </c>
      <c r="C7" s="42"/>
      <c r="D7" s="7">
        <v>1</v>
      </c>
      <c r="E7" s="7">
        <v>1</v>
      </c>
      <c r="F7" s="42"/>
      <c r="G7" s="42"/>
      <c r="H7" s="42"/>
      <c r="I7" s="42"/>
      <c r="J7" s="7">
        <v>1</v>
      </c>
      <c r="K7" s="42"/>
      <c r="L7" s="42"/>
      <c r="M7" s="42"/>
      <c r="N7" s="42"/>
      <c r="O7" s="15">
        <v>1</v>
      </c>
      <c r="P7" s="23"/>
      <c r="Q7" s="23"/>
      <c r="R7" s="190"/>
      <c r="S7" s="184" t="s">
        <v>15</v>
      </c>
    </row>
    <row r="8" spans="1:21" ht="24.75" thickBot="1" x14ac:dyDescent="0.35">
      <c r="A8" s="33" t="s">
        <v>25</v>
      </c>
      <c r="B8" s="27">
        <v>5500</v>
      </c>
      <c r="C8" s="17">
        <v>1</v>
      </c>
      <c r="D8" s="7">
        <v>1</v>
      </c>
      <c r="E8" s="40"/>
      <c r="F8" s="19">
        <v>1</v>
      </c>
      <c r="G8" s="40"/>
      <c r="H8" s="40"/>
      <c r="I8" s="7">
        <v>1</v>
      </c>
      <c r="J8" s="40"/>
      <c r="K8" s="40"/>
      <c r="L8" s="40"/>
      <c r="M8" s="40"/>
      <c r="N8" s="40"/>
      <c r="O8" s="41"/>
      <c r="P8" s="22"/>
      <c r="Q8" s="22"/>
      <c r="R8" s="191"/>
      <c r="S8" s="185"/>
    </row>
    <row r="9" spans="1:21" x14ac:dyDescent="0.3">
      <c r="A9" s="33" t="s">
        <v>26</v>
      </c>
      <c r="B9" s="28">
        <v>6600</v>
      </c>
      <c r="C9" s="42"/>
      <c r="D9" s="7">
        <v>1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23"/>
      <c r="Q9" s="23"/>
      <c r="R9" s="182"/>
      <c r="S9" s="184" t="s">
        <v>16</v>
      </c>
    </row>
    <row r="10" spans="1:21" ht="17.25" thickBot="1" x14ac:dyDescent="0.35">
      <c r="A10" s="33" t="s">
        <v>27</v>
      </c>
      <c r="B10" s="27">
        <v>6600</v>
      </c>
      <c r="C10" s="40"/>
      <c r="D10" s="40"/>
      <c r="E10" s="40"/>
      <c r="F10" s="40"/>
      <c r="G10" s="40"/>
      <c r="H10" s="40"/>
      <c r="I10" s="40"/>
      <c r="J10" s="40"/>
      <c r="K10" s="19">
        <v>1</v>
      </c>
      <c r="L10" s="40"/>
      <c r="M10" s="40"/>
      <c r="N10" s="40"/>
      <c r="O10" s="41"/>
      <c r="P10" s="22"/>
      <c r="Q10" s="22"/>
      <c r="R10" s="183"/>
      <c r="S10" s="185"/>
    </row>
    <row r="11" spans="1:21" x14ac:dyDescent="0.3">
      <c r="A11" s="34" t="s">
        <v>28</v>
      </c>
      <c r="B11" s="28">
        <v>7700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7">
        <v>1</v>
      </c>
      <c r="O11" s="43"/>
      <c r="P11" s="23"/>
      <c r="Q11" s="23"/>
      <c r="R11" s="165" t="s">
        <v>17</v>
      </c>
      <c r="S11" s="166"/>
      <c r="T11" s="166"/>
      <c r="U11" s="167"/>
    </row>
    <row r="12" spans="1:21" ht="24.75" thickBot="1" x14ac:dyDescent="0.35">
      <c r="A12" s="34" t="s">
        <v>29</v>
      </c>
      <c r="B12" s="27">
        <v>7700</v>
      </c>
      <c r="C12" s="44"/>
      <c r="D12" s="44"/>
      <c r="E12" s="44"/>
      <c r="F12" s="44"/>
      <c r="G12" s="45"/>
      <c r="H12" s="44"/>
      <c r="I12" s="45"/>
      <c r="J12" s="44"/>
      <c r="K12" s="44"/>
      <c r="L12" s="44"/>
      <c r="M12" s="44"/>
      <c r="N12" s="45"/>
      <c r="O12" s="46"/>
      <c r="P12" s="22"/>
      <c r="Q12" s="22"/>
      <c r="R12" s="168"/>
      <c r="S12" s="169"/>
      <c r="T12" s="169"/>
      <c r="U12" s="170"/>
    </row>
    <row r="13" spans="1:21" x14ac:dyDescent="0.3">
      <c r="A13" s="25"/>
      <c r="B13" s="26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R13" s="168"/>
      <c r="S13" s="169"/>
      <c r="T13" s="169"/>
      <c r="U13" s="170"/>
    </row>
    <row r="14" spans="1:21" x14ac:dyDescent="0.3">
      <c r="A14" s="29" t="s">
        <v>19</v>
      </c>
      <c r="B14" s="30" t="s">
        <v>20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168"/>
      <c r="S14" s="169"/>
      <c r="T14" s="169"/>
      <c r="U14" s="170"/>
    </row>
    <row r="15" spans="1:21" x14ac:dyDescent="0.3">
      <c r="A15" s="32" t="s">
        <v>21</v>
      </c>
      <c r="B15" s="28">
        <v>5500</v>
      </c>
      <c r="C15" s="23"/>
      <c r="D15" s="23"/>
      <c r="E15" s="23"/>
      <c r="F15" s="23"/>
      <c r="G15" s="23"/>
      <c r="H15" s="23"/>
      <c r="I15" s="23"/>
      <c r="J15" s="31"/>
      <c r="K15" s="23"/>
      <c r="L15" s="23"/>
      <c r="M15" s="23"/>
      <c r="N15" s="23"/>
      <c r="O15" s="23"/>
      <c r="P15" s="23"/>
      <c r="Q15" s="23"/>
      <c r="R15" s="168"/>
      <c r="S15" s="169"/>
      <c r="T15" s="169"/>
      <c r="U15" s="170"/>
    </row>
    <row r="16" spans="1:21" ht="17.25" thickBot="1" x14ac:dyDescent="0.35">
      <c r="A16" s="32" t="s">
        <v>22</v>
      </c>
      <c r="B16" s="27">
        <v>5500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171"/>
      <c r="S16" s="172"/>
      <c r="T16" s="172"/>
      <c r="U16" s="173"/>
    </row>
    <row r="17" spans="1:21" ht="17.25" thickBot="1" x14ac:dyDescent="0.35">
      <c r="A17" s="32" t="s">
        <v>23</v>
      </c>
      <c r="B17" s="28">
        <v>4400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10"/>
      <c r="S17" s="11" t="s">
        <v>18</v>
      </c>
      <c r="T17" s="11"/>
      <c r="U17" s="11"/>
    </row>
    <row r="18" spans="1:21" x14ac:dyDescent="0.3">
      <c r="A18" s="33" t="s">
        <v>24</v>
      </c>
      <c r="B18" s="28">
        <v>4400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21" ht="24" x14ac:dyDescent="0.3">
      <c r="A19" s="33" t="s">
        <v>25</v>
      </c>
      <c r="B19" s="27">
        <v>5500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21" x14ac:dyDescent="0.3">
      <c r="A20" s="33" t="s">
        <v>26</v>
      </c>
      <c r="B20" s="28">
        <v>6600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21" x14ac:dyDescent="0.3">
      <c r="A21" s="33" t="s">
        <v>27</v>
      </c>
      <c r="B21" s="27">
        <v>6600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21" x14ac:dyDescent="0.3">
      <c r="A22" s="34" t="s">
        <v>28</v>
      </c>
      <c r="B22" s="28">
        <v>7700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21" ht="24" x14ac:dyDescent="0.3">
      <c r="A23" s="34" t="s">
        <v>29</v>
      </c>
      <c r="B23" s="27">
        <v>7700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5" spans="1:21" x14ac:dyDescent="0.3">
      <c r="A25" s="29" t="s">
        <v>19</v>
      </c>
      <c r="B25" s="30" t="s">
        <v>20</v>
      </c>
      <c r="C25" s="31" t="s">
        <v>11</v>
      </c>
    </row>
    <row r="26" spans="1:21" x14ac:dyDescent="0.3">
      <c r="A26" s="32" t="s">
        <v>21</v>
      </c>
      <c r="B26" s="28">
        <v>5500</v>
      </c>
      <c r="C26" s="23">
        <f t="shared" ref="C26:C34" si="0">SUM(C4:AE4,C15:AE15)</f>
        <v>8</v>
      </c>
    </row>
    <row r="27" spans="1:21" x14ac:dyDescent="0.3">
      <c r="A27" s="32" t="s">
        <v>22</v>
      </c>
      <c r="B27" s="27">
        <v>5500</v>
      </c>
      <c r="C27" s="23">
        <f t="shared" si="0"/>
        <v>1</v>
      </c>
    </row>
    <row r="28" spans="1:21" x14ac:dyDescent="0.3">
      <c r="A28" s="32" t="s">
        <v>23</v>
      </c>
      <c r="B28" s="28">
        <v>4400</v>
      </c>
      <c r="C28" s="23">
        <f t="shared" si="0"/>
        <v>1</v>
      </c>
    </row>
    <row r="29" spans="1:21" x14ac:dyDescent="0.3">
      <c r="A29" s="33" t="s">
        <v>24</v>
      </c>
      <c r="B29" s="28">
        <v>4400</v>
      </c>
      <c r="C29" s="23">
        <f t="shared" si="0"/>
        <v>4</v>
      </c>
    </row>
    <row r="30" spans="1:21" ht="24" x14ac:dyDescent="0.3">
      <c r="A30" s="33" t="s">
        <v>25</v>
      </c>
      <c r="B30" s="27">
        <v>5500</v>
      </c>
      <c r="C30" s="23">
        <f t="shared" si="0"/>
        <v>4</v>
      </c>
    </row>
    <row r="31" spans="1:21" x14ac:dyDescent="0.3">
      <c r="A31" s="33" t="s">
        <v>26</v>
      </c>
      <c r="B31" s="28">
        <v>6600</v>
      </c>
      <c r="C31" s="23">
        <f t="shared" si="0"/>
        <v>1</v>
      </c>
    </row>
    <row r="32" spans="1:21" x14ac:dyDescent="0.3">
      <c r="A32" s="33" t="s">
        <v>27</v>
      </c>
      <c r="B32" s="27">
        <v>6600</v>
      </c>
      <c r="C32" s="23">
        <f t="shared" si="0"/>
        <v>1</v>
      </c>
    </row>
    <row r="33" spans="1:3" x14ac:dyDescent="0.3">
      <c r="A33" s="34" t="s">
        <v>28</v>
      </c>
      <c r="B33" s="28">
        <v>7700</v>
      </c>
      <c r="C33" s="23">
        <f t="shared" si="0"/>
        <v>1</v>
      </c>
    </row>
    <row r="34" spans="1:3" ht="24" x14ac:dyDescent="0.3">
      <c r="A34" s="34" t="s">
        <v>29</v>
      </c>
      <c r="B34" s="27">
        <v>7700</v>
      </c>
      <c r="C34" s="23">
        <f t="shared" si="0"/>
        <v>0</v>
      </c>
    </row>
  </sheetData>
  <mergeCells count="9">
    <mergeCell ref="R9:R10"/>
    <mergeCell ref="S9:S10"/>
    <mergeCell ref="R11:U16"/>
    <mergeCell ref="R3:R4"/>
    <mergeCell ref="S3:S4"/>
    <mergeCell ref="R5:R6"/>
    <mergeCell ref="S5:S6"/>
    <mergeCell ref="R7:R8"/>
    <mergeCell ref="S7:S8"/>
  </mergeCells>
  <phoneticPr fontId="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AA34"/>
  <sheetViews>
    <sheetView workbookViewId="0">
      <selection activeCell="Y3" sqref="Y3:AB17"/>
    </sheetView>
  </sheetViews>
  <sheetFormatPr defaultRowHeight="16.5" x14ac:dyDescent="0.3"/>
  <cols>
    <col min="3" max="23" width="5.625" customWidth="1"/>
  </cols>
  <sheetData>
    <row r="2" spans="1:27" ht="17.25" thickBot="1" x14ac:dyDescent="0.35"/>
    <row r="3" spans="1:27" ht="18" customHeight="1" thickTop="1" thickBot="1" x14ac:dyDescent="0.35">
      <c r="A3" s="29" t="s">
        <v>19</v>
      </c>
      <c r="B3" s="30" t="s">
        <v>20</v>
      </c>
      <c r="C3" s="35">
        <v>1214</v>
      </c>
      <c r="D3" s="35">
        <v>705</v>
      </c>
      <c r="E3" s="35">
        <v>825</v>
      </c>
      <c r="F3" s="35">
        <v>1525</v>
      </c>
      <c r="G3" s="36">
        <v>918</v>
      </c>
      <c r="H3" s="37">
        <v>1723</v>
      </c>
      <c r="I3" s="35">
        <v>1724</v>
      </c>
      <c r="J3" s="35">
        <v>821</v>
      </c>
      <c r="K3" s="35">
        <v>1521</v>
      </c>
      <c r="L3" s="35">
        <v>1102</v>
      </c>
      <c r="M3" s="35">
        <v>1417</v>
      </c>
      <c r="N3" s="36">
        <v>802</v>
      </c>
      <c r="O3" s="37">
        <v>1420</v>
      </c>
      <c r="P3" s="35">
        <v>917</v>
      </c>
      <c r="Q3" s="35">
        <v>1027</v>
      </c>
      <c r="R3" s="35">
        <v>1118</v>
      </c>
      <c r="S3" s="35">
        <v>608</v>
      </c>
      <c r="T3" s="36">
        <v>1006</v>
      </c>
      <c r="U3" s="37">
        <v>1024</v>
      </c>
      <c r="V3" s="35">
        <v>1527</v>
      </c>
      <c r="W3" s="35">
        <v>1809</v>
      </c>
      <c r="X3" s="186"/>
      <c r="Y3" s="184" t="s">
        <v>13</v>
      </c>
    </row>
    <row r="4" spans="1:27" ht="18" thickTop="1" thickBot="1" x14ac:dyDescent="0.35">
      <c r="A4" s="32" t="s">
        <v>21</v>
      </c>
      <c r="B4" s="28">
        <v>5500</v>
      </c>
      <c r="C4" s="39"/>
      <c r="D4" s="38"/>
      <c r="E4" s="38"/>
      <c r="F4" s="38"/>
      <c r="G4" s="38"/>
      <c r="H4" s="48">
        <v>1</v>
      </c>
      <c r="I4" s="38"/>
      <c r="J4" s="39"/>
      <c r="K4" s="38"/>
      <c r="L4" s="38"/>
      <c r="M4" s="38"/>
      <c r="N4" s="13">
        <v>2</v>
      </c>
      <c r="O4" s="47">
        <v>1</v>
      </c>
      <c r="P4" s="39"/>
      <c r="Q4" s="38"/>
      <c r="R4" s="38"/>
      <c r="S4" s="38"/>
      <c r="T4" s="38"/>
      <c r="U4" s="6">
        <v>1</v>
      </c>
      <c r="V4" s="6">
        <v>1</v>
      </c>
      <c r="W4" s="50">
        <v>1</v>
      </c>
      <c r="X4" s="187"/>
      <c r="Y4" s="185"/>
    </row>
    <row r="5" spans="1:27" ht="16.5" customHeight="1" x14ac:dyDescent="0.3">
      <c r="A5" s="32" t="s">
        <v>22</v>
      </c>
      <c r="B5" s="27">
        <v>5500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1"/>
      <c r="P5" s="40"/>
      <c r="Q5" s="40"/>
      <c r="R5" s="40"/>
      <c r="S5" s="40"/>
      <c r="T5" s="40"/>
      <c r="U5" s="40"/>
      <c r="V5" s="40"/>
      <c r="W5" s="40"/>
      <c r="X5" s="188"/>
      <c r="Y5" s="184" t="s">
        <v>14</v>
      </c>
    </row>
    <row r="6" spans="1:27" ht="17.25" thickBot="1" x14ac:dyDescent="0.35">
      <c r="A6" s="32" t="s">
        <v>23</v>
      </c>
      <c r="B6" s="28">
        <v>4400</v>
      </c>
      <c r="C6" s="42"/>
      <c r="D6" s="14">
        <v>1</v>
      </c>
      <c r="E6" s="42"/>
      <c r="F6" s="42"/>
      <c r="G6" s="42"/>
      <c r="H6" s="42"/>
      <c r="I6" s="42"/>
      <c r="J6" s="42"/>
      <c r="K6" s="42"/>
      <c r="L6" s="49">
        <v>1</v>
      </c>
      <c r="M6" s="42"/>
      <c r="N6" s="42"/>
      <c r="O6" s="43"/>
      <c r="P6" s="19">
        <v>1</v>
      </c>
      <c r="Q6" s="49">
        <v>1</v>
      </c>
      <c r="R6" s="42"/>
      <c r="S6" s="42"/>
      <c r="T6" s="42"/>
      <c r="U6" s="42"/>
      <c r="V6" s="7">
        <v>2</v>
      </c>
      <c r="W6" s="42"/>
      <c r="X6" s="189"/>
      <c r="Y6" s="185"/>
    </row>
    <row r="7" spans="1:27" ht="16.5" customHeight="1" x14ac:dyDescent="0.3">
      <c r="A7" s="33" t="s">
        <v>24</v>
      </c>
      <c r="B7" s="28">
        <v>4400</v>
      </c>
      <c r="C7" s="42"/>
      <c r="D7" s="42"/>
      <c r="E7" s="19">
        <v>1</v>
      </c>
      <c r="F7" s="14">
        <v>1</v>
      </c>
      <c r="G7" s="7">
        <v>1</v>
      </c>
      <c r="H7" s="49">
        <v>1</v>
      </c>
      <c r="I7" s="7">
        <v>1</v>
      </c>
      <c r="J7" s="42"/>
      <c r="K7" s="17">
        <v>1</v>
      </c>
      <c r="L7" s="42"/>
      <c r="M7" s="42"/>
      <c r="N7" s="14">
        <v>1</v>
      </c>
      <c r="O7" s="43"/>
      <c r="P7" s="42"/>
      <c r="Q7" s="42"/>
      <c r="R7" s="42"/>
      <c r="S7" s="42"/>
      <c r="T7" s="42"/>
      <c r="U7" s="42"/>
      <c r="V7" s="42"/>
      <c r="W7" s="42"/>
      <c r="X7" s="190"/>
      <c r="Y7" s="184" t="s">
        <v>15</v>
      </c>
    </row>
    <row r="8" spans="1:27" ht="24.75" thickBot="1" x14ac:dyDescent="0.35">
      <c r="A8" s="33" t="s">
        <v>25</v>
      </c>
      <c r="B8" s="27">
        <v>5500</v>
      </c>
      <c r="C8" s="7">
        <v>1</v>
      </c>
      <c r="D8" s="40"/>
      <c r="E8" s="40"/>
      <c r="F8" s="40"/>
      <c r="G8" s="7">
        <v>1</v>
      </c>
      <c r="H8" s="49">
        <v>1</v>
      </c>
      <c r="I8" s="40"/>
      <c r="J8" s="19">
        <v>1</v>
      </c>
      <c r="K8" s="17">
        <v>1</v>
      </c>
      <c r="L8" s="49">
        <v>1</v>
      </c>
      <c r="M8" s="49">
        <v>1</v>
      </c>
      <c r="N8" s="40"/>
      <c r="O8" s="41"/>
      <c r="P8" s="40"/>
      <c r="Q8" s="40"/>
      <c r="R8" s="40"/>
      <c r="S8" s="40"/>
      <c r="T8" s="40"/>
      <c r="U8" s="40"/>
      <c r="V8" s="7">
        <v>1</v>
      </c>
      <c r="W8" s="40"/>
      <c r="X8" s="191"/>
      <c r="Y8" s="185"/>
    </row>
    <row r="9" spans="1:27" ht="16.5" customHeight="1" x14ac:dyDescent="0.3">
      <c r="A9" s="33" t="s">
        <v>26</v>
      </c>
      <c r="B9" s="28">
        <v>6600</v>
      </c>
      <c r="C9" s="7">
        <v>1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3"/>
      <c r="P9" s="42"/>
      <c r="Q9" s="42"/>
      <c r="R9" s="42"/>
      <c r="S9" s="14">
        <v>1</v>
      </c>
      <c r="T9" s="19">
        <v>1</v>
      </c>
      <c r="U9" s="42"/>
      <c r="V9" s="7">
        <v>1</v>
      </c>
      <c r="W9" s="42"/>
      <c r="X9" s="182"/>
      <c r="Y9" s="184" t="s">
        <v>16</v>
      </c>
    </row>
    <row r="10" spans="1:27" ht="17.25" thickBot="1" x14ac:dyDescent="0.35">
      <c r="A10" s="33" t="s">
        <v>27</v>
      </c>
      <c r="B10" s="27">
        <v>6600</v>
      </c>
      <c r="C10" s="7">
        <v>1</v>
      </c>
      <c r="D10" s="40"/>
      <c r="E10" s="40"/>
      <c r="F10" s="40"/>
      <c r="G10" s="40"/>
      <c r="H10" s="40"/>
      <c r="I10" s="7">
        <v>1</v>
      </c>
      <c r="J10" s="40"/>
      <c r="K10" s="40"/>
      <c r="L10" s="40"/>
      <c r="M10" s="40"/>
      <c r="N10" s="40"/>
      <c r="O10" s="41"/>
      <c r="P10" s="40"/>
      <c r="Q10" s="40"/>
      <c r="R10" s="19">
        <v>1</v>
      </c>
      <c r="S10" s="14">
        <v>1</v>
      </c>
      <c r="T10" s="40"/>
      <c r="U10" s="40"/>
      <c r="V10" s="40"/>
      <c r="W10" s="40"/>
      <c r="X10" s="183"/>
      <c r="Y10" s="185"/>
    </row>
    <row r="11" spans="1:27" ht="16.5" customHeight="1" x14ac:dyDescent="0.3">
      <c r="A11" s="34" t="s">
        <v>28</v>
      </c>
      <c r="B11" s="28">
        <v>7700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3"/>
      <c r="P11" s="42"/>
      <c r="Q11" s="42"/>
      <c r="R11" s="42"/>
      <c r="S11" s="42"/>
      <c r="T11" s="42"/>
      <c r="U11" s="19">
        <v>1</v>
      </c>
      <c r="V11" s="42"/>
      <c r="W11" s="42"/>
      <c r="X11" s="165" t="s">
        <v>17</v>
      </c>
      <c r="Y11" s="166"/>
      <c r="Z11" s="166"/>
      <c r="AA11" s="167"/>
    </row>
    <row r="12" spans="1:27" ht="24.75" thickBot="1" x14ac:dyDescent="0.35">
      <c r="A12" s="34" t="s">
        <v>29</v>
      </c>
      <c r="B12" s="27">
        <v>7700</v>
      </c>
      <c r="C12" s="44"/>
      <c r="D12" s="44"/>
      <c r="E12" s="44"/>
      <c r="F12" s="44"/>
      <c r="G12" s="45"/>
      <c r="H12" s="44"/>
      <c r="I12" s="45"/>
      <c r="J12" s="44"/>
      <c r="K12" s="44"/>
      <c r="L12" s="44"/>
      <c r="M12" s="44"/>
      <c r="N12" s="45"/>
      <c r="O12" s="46"/>
      <c r="P12" s="44"/>
      <c r="Q12" s="51">
        <v>1</v>
      </c>
      <c r="R12" s="44"/>
      <c r="S12" s="44"/>
      <c r="T12" s="45"/>
      <c r="U12" s="20">
        <v>1</v>
      </c>
      <c r="V12" s="45"/>
      <c r="W12" s="44"/>
      <c r="X12" s="168"/>
      <c r="Y12" s="169"/>
      <c r="Z12" s="169"/>
      <c r="AA12" s="170"/>
    </row>
    <row r="13" spans="1:27" x14ac:dyDescent="0.3">
      <c r="A13" s="25"/>
      <c r="B13" s="26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X13" s="168"/>
      <c r="Y13" s="169"/>
      <c r="Z13" s="169"/>
      <c r="AA13" s="170"/>
    </row>
    <row r="14" spans="1:27" x14ac:dyDescent="0.3">
      <c r="A14" s="29" t="s">
        <v>19</v>
      </c>
      <c r="B14" s="30" t="s">
        <v>20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168"/>
      <c r="Y14" s="169"/>
      <c r="Z14" s="169"/>
      <c r="AA14" s="170"/>
    </row>
    <row r="15" spans="1:27" x14ac:dyDescent="0.3">
      <c r="A15" s="32" t="s">
        <v>21</v>
      </c>
      <c r="B15" s="28">
        <v>5500</v>
      </c>
      <c r="C15" s="23"/>
      <c r="D15" s="23"/>
      <c r="E15" s="23"/>
      <c r="F15" s="23"/>
      <c r="G15" s="23"/>
      <c r="H15" s="23"/>
      <c r="I15" s="23"/>
      <c r="J15" s="31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31"/>
      <c r="W15" s="23"/>
      <c r="X15" s="168"/>
      <c r="Y15" s="169"/>
      <c r="Z15" s="169"/>
      <c r="AA15" s="170"/>
    </row>
    <row r="16" spans="1:27" ht="17.25" thickBot="1" x14ac:dyDescent="0.35">
      <c r="A16" s="32" t="s">
        <v>22</v>
      </c>
      <c r="B16" s="27">
        <v>5500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71"/>
      <c r="Y16" s="172"/>
      <c r="Z16" s="172"/>
      <c r="AA16" s="173"/>
    </row>
    <row r="17" spans="1:27" ht="17.25" thickBot="1" x14ac:dyDescent="0.35">
      <c r="A17" s="32" t="s">
        <v>23</v>
      </c>
      <c r="B17" s="28">
        <v>4400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10"/>
      <c r="Y17" s="11" t="s">
        <v>18</v>
      </c>
      <c r="Z17" s="11"/>
      <c r="AA17" s="11"/>
    </row>
    <row r="18" spans="1:27" x14ac:dyDescent="0.3">
      <c r="A18" s="33" t="s">
        <v>24</v>
      </c>
      <c r="B18" s="28">
        <v>4400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7" ht="24" x14ac:dyDescent="0.3">
      <c r="A19" s="33" t="s">
        <v>25</v>
      </c>
      <c r="B19" s="27">
        <v>5500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7" x14ac:dyDescent="0.3">
      <c r="A20" s="33" t="s">
        <v>26</v>
      </c>
      <c r="B20" s="28">
        <v>6600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1:27" x14ac:dyDescent="0.3">
      <c r="A21" s="33" t="s">
        <v>27</v>
      </c>
      <c r="B21" s="27">
        <v>6600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7" x14ac:dyDescent="0.3">
      <c r="A22" s="34" t="s">
        <v>28</v>
      </c>
      <c r="B22" s="28">
        <v>7700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1:27" ht="24" x14ac:dyDescent="0.3">
      <c r="A23" s="34" t="s">
        <v>29</v>
      </c>
      <c r="B23" s="27">
        <v>7700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5" spans="1:27" x14ac:dyDescent="0.3">
      <c r="A25" s="29" t="s">
        <v>19</v>
      </c>
      <c r="B25" s="30" t="s">
        <v>20</v>
      </c>
      <c r="C25" s="31" t="s">
        <v>11</v>
      </c>
    </row>
    <row r="26" spans="1:27" x14ac:dyDescent="0.3">
      <c r="A26" s="32" t="s">
        <v>21</v>
      </c>
      <c r="B26" s="28">
        <v>5500</v>
      </c>
      <c r="C26" s="23">
        <f t="shared" ref="C26:C34" si="0">SUM(C4:AG4,C15:AG15)</f>
        <v>7</v>
      </c>
    </row>
    <row r="27" spans="1:27" x14ac:dyDescent="0.3">
      <c r="A27" s="32" t="s">
        <v>22</v>
      </c>
      <c r="B27" s="27">
        <v>5500</v>
      </c>
      <c r="C27" s="23">
        <f t="shared" si="0"/>
        <v>0</v>
      </c>
    </row>
    <row r="28" spans="1:27" x14ac:dyDescent="0.3">
      <c r="A28" s="32" t="s">
        <v>23</v>
      </c>
      <c r="B28" s="28">
        <v>4400</v>
      </c>
      <c r="C28" s="23">
        <f t="shared" si="0"/>
        <v>6</v>
      </c>
    </row>
    <row r="29" spans="1:27" x14ac:dyDescent="0.3">
      <c r="A29" s="33" t="s">
        <v>24</v>
      </c>
      <c r="B29" s="28">
        <v>4400</v>
      </c>
      <c r="C29" s="23">
        <f t="shared" si="0"/>
        <v>7</v>
      </c>
    </row>
    <row r="30" spans="1:27" ht="24" x14ac:dyDescent="0.3">
      <c r="A30" s="33" t="s">
        <v>25</v>
      </c>
      <c r="B30" s="27">
        <v>5500</v>
      </c>
      <c r="C30" s="23">
        <f t="shared" si="0"/>
        <v>8</v>
      </c>
    </row>
    <row r="31" spans="1:27" x14ac:dyDescent="0.3">
      <c r="A31" s="33" t="s">
        <v>26</v>
      </c>
      <c r="B31" s="28">
        <v>6600</v>
      </c>
      <c r="C31" s="23">
        <f t="shared" si="0"/>
        <v>4</v>
      </c>
    </row>
    <row r="32" spans="1:27" x14ac:dyDescent="0.3">
      <c r="A32" s="33" t="s">
        <v>27</v>
      </c>
      <c r="B32" s="27">
        <v>6600</v>
      </c>
      <c r="C32" s="23">
        <f t="shared" si="0"/>
        <v>4</v>
      </c>
    </row>
    <row r="33" spans="1:3" x14ac:dyDescent="0.3">
      <c r="A33" s="34" t="s">
        <v>28</v>
      </c>
      <c r="B33" s="28">
        <v>7700</v>
      </c>
      <c r="C33" s="23">
        <f t="shared" si="0"/>
        <v>1</v>
      </c>
    </row>
    <row r="34" spans="1:3" ht="24" x14ac:dyDescent="0.3">
      <c r="A34" s="34" t="s">
        <v>29</v>
      </c>
      <c r="B34" s="27">
        <v>7700</v>
      </c>
      <c r="C34" s="23">
        <f t="shared" si="0"/>
        <v>2</v>
      </c>
    </row>
  </sheetData>
  <mergeCells count="9">
    <mergeCell ref="Y9:Y10"/>
    <mergeCell ref="X11:AA16"/>
    <mergeCell ref="X3:X4"/>
    <mergeCell ref="Y3:Y4"/>
    <mergeCell ref="X5:X6"/>
    <mergeCell ref="Y5:Y6"/>
    <mergeCell ref="X7:X8"/>
    <mergeCell ref="Y7:Y8"/>
    <mergeCell ref="X9:X10"/>
  </mergeCells>
  <phoneticPr fontId="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Y34"/>
  <sheetViews>
    <sheetView workbookViewId="0">
      <selection activeCell="Y3" sqref="Y3:AB17"/>
    </sheetView>
  </sheetViews>
  <sheetFormatPr defaultRowHeight="16.5" x14ac:dyDescent="0.3"/>
  <cols>
    <col min="2" max="2" width="15.375" customWidth="1"/>
    <col min="3" max="3" width="8.75" customWidth="1"/>
    <col min="4" max="25" width="5.625" customWidth="1"/>
  </cols>
  <sheetData>
    <row r="1" spans="2:25" ht="20.25" customHeight="1" x14ac:dyDescent="0.3"/>
    <row r="2" spans="2:25" ht="20.25" customHeight="1" thickBot="1" x14ac:dyDescent="0.35"/>
    <row r="3" spans="2:25" ht="20.25" customHeight="1" thickTop="1" thickBot="1" x14ac:dyDescent="0.35">
      <c r="B3" s="29" t="s">
        <v>0</v>
      </c>
      <c r="C3" s="30" t="s">
        <v>1</v>
      </c>
      <c r="D3" s="35">
        <v>1218</v>
      </c>
      <c r="E3" s="35">
        <v>1516</v>
      </c>
      <c r="F3" s="35">
        <v>1618</v>
      </c>
      <c r="G3" s="35">
        <v>1714</v>
      </c>
      <c r="H3" s="36">
        <v>615</v>
      </c>
      <c r="I3" s="37">
        <v>1225</v>
      </c>
      <c r="J3" s="35">
        <v>1729</v>
      </c>
      <c r="K3" s="35">
        <v>1223</v>
      </c>
      <c r="L3" s="35">
        <v>921</v>
      </c>
      <c r="M3" s="35">
        <v>1401</v>
      </c>
      <c r="N3" s="35">
        <v>1026</v>
      </c>
      <c r="O3" s="36">
        <v>822</v>
      </c>
      <c r="P3" s="37">
        <v>1622</v>
      </c>
      <c r="Q3" s="35">
        <v>1619</v>
      </c>
      <c r="R3" s="35">
        <v>1223</v>
      </c>
      <c r="S3" s="35">
        <v>1121</v>
      </c>
      <c r="T3" s="35">
        <v>818</v>
      </c>
      <c r="U3" s="36">
        <v>1215</v>
      </c>
      <c r="V3" s="186"/>
      <c r="W3" s="184" t="s">
        <v>13</v>
      </c>
    </row>
    <row r="4" spans="2:25" ht="18" customHeight="1" thickTop="1" thickBot="1" x14ac:dyDescent="0.35">
      <c r="B4" s="32" t="s">
        <v>2</v>
      </c>
      <c r="C4" s="3">
        <v>5500</v>
      </c>
      <c r="D4" s="39"/>
      <c r="E4" s="38"/>
      <c r="F4" s="38"/>
      <c r="G4" s="38"/>
      <c r="H4" s="50">
        <v>1</v>
      </c>
      <c r="I4" s="38"/>
      <c r="J4" s="38"/>
      <c r="K4" s="39"/>
      <c r="L4" s="50">
        <v>1</v>
      </c>
      <c r="M4" s="38"/>
      <c r="N4" s="6">
        <v>1</v>
      </c>
      <c r="O4" s="38"/>
      <c r="P4" s="18"/>
      <c r="Q4" s="39"/>
      <c r="R4" s="38"/>
      <c r="S4" s="38"/>
      <c r="T4" s="38"/>
      <c r="U4" s="38"/>
      <c r="V4" s="187"/>
      <c r="W4" s="185"/>
    </row>
    <row r="5" spans="2:25" ht="18" customHeight="1" x14ac:dyDescent="0.3">
      <c r="B5" s="32" t="s">
        <v>3</v>
      </c>
      <c r="C5" s="2">
        <v>5500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7">
        <v>2</v>
      </c>
      <c r="P5" s="41"/>
      <c r="Q5" s="40"/>
      <c r="R5" s="40"/>
      <c r="S5" s="40"/>
      <c r="T5" s="40"/>
      <c r="U5" s="40"/>
      <c r="V5" s="188"/>
      <c r="W5" s="184" t="s">
        <v>14</v>
      </c>
    </row>
    <row r="6" spans="2:25" ht="18" customHeight="1" thickBot="1" x14ac:dyDescent="0.35">
      <c r="B6" s="32" t="s">
        <v>4</v>
      </c>
      <c r="C6" s="3">
        <v>4400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7">
        <v>1</v>
      </c>
      <c r="P6" s="43"/>
      <c r="Q6" s="42"/>
      <c r="R6" s="42"/>
      <c r="S6" s="42"/>
      <c r="T6" s="42"/>
      <c r="U6" s="42"/>
      <c r="V6" s="189"/>
      <c r="W6" s="185"/>
    </row>
    <row r="7" spans="2:25" ht="18" customHeight="1" x14ac:dyDescent="0.3">
      <c r="B7" s="33" t="s">
        <v>5</v>
      </c>
      <c r="C7" s="3">
        <v>4400</v>
      </c>
      <c r="D7" s="19">
        <v>1</v>
      </c>
      <c r="E7" s="7">
        <v>1</v>
      </c>
      <c r="F7" s="17">
        <v>1</v>
      </c>
      <c r="G7" s="7">
        <v>1</v>
      </c>
      <c r="H7" s="42"/>
      <c r="I7" s="7">
        <v>1</v>
      </c>
      <c r="J7" s="42"/>
      <c r="K7" s="42"/>
      <c r="L7" s="42"/>
      <c r="M7" s="42"/>
      <c r="N7" s="42"/>
      <c r="O7" s="7">
        <v>1</v>
      </c>
      <c r="P7" s="43"/>
      <c r="Q7" s="42"/>
      <c r="R7" s="42"/>
      <c r="S7" s="42"/>
      <c r="T7" s="42"/>
      <c r="U7" s="42"/>
      <c r="V7" s="190"/>
      <c r="W7" s="184" t="s">
        <v>15</v>
      </c>
    </row>
    <row r="8" spans="2:25" ht="18" customHeight="1" thickBot="1" x14ac:dyDescent="0.35">
      <c r="B8" s="33" t="s">
        <v>6</v>
      </c>
      <c r="C8" s="2">
        <v>5500</v>
      </c>
      <c r="D8" s="19">
        <v>1</v>
      </c>
      <c r="E8" s="40"/>
      <c r="F8" s="40"/>
      <c r="G8" s="7">
        <v>1</v>
      </c>
      <c r="H8" s="40"/>
      <c r="I8" s="40"/>
      <c r="J8" s="40"/>
      <c r="K8" s="40"/>
      <c r="L8" s="40"/>
      <c r="M8" s="40"/>
      <c r="N8" s="40"/>
      <c r="O8" s="7">
        <v>1</v>
      </c>
      <c r="P8" s="52">
        <v>1</v>
      </c>
      <c r="Q8" s="40"/>
      <c r="R8" s="7">
        <v>1</v>
      </c>
      <c r="S8" s="19">
        <v>1</v>
      </c>
      <c r="T8" s="40"/>
      <c r="U8" s="40"/>
      <c r="V8" s="191"/>
      <c r="W8" s="185"/>
    </row>
    <row r="9" spans="2:25" ht="18" customHeight="1" x14ac:dyDescent="0.3">
      <c r="B9" s="33" t="s">
        <v>7</v>
      </c>
      <c r="C9" s="3">
        <v>6600</v>
      </c>
      <c r="D9" s="42"/>
      <c r="E9" s="19">
        <v>1</v>
      </c>
      <c r="F9" s="42"/>
      <c r="G9" s="42"/>
      <c r="H9" s="42"/>
      <c r="I9" s="42"/>
      <c r="J9" s="42"/>
      <c r="K9" s="42"/>
      <c r="L9" s="42"/>
      <c r="M9" s="7">
        <v>1</v>
      </c>
      <c r="N9" s="42"/>
      <c r="O9" s="7">
        <v>1</v>
      </c>
      <c r="P9" s="43"/>
      <c r="Q9" s="7">
        <v>1</v>
      </c>
      <c r="R9" s="42"/>
      <c r="S9" s="42"/>
      <c r="T9" s="42"/>
      <c r="U9" s="42"/>
      <c r="V9" s="182"/>
      <c r="W9" s="184" t="s">
        <v>16</v>
      </c>
    </row>
    <row r="10" spans="2:25" ht="18" customHeight="1" thickBot="1" x14ac:dyDescent="0.35">
      <c r="B10" s="33" t="s">
        <v>8</v>
      </c>
      <c r="C10" s="2">
        <v>6600</v>
      </c>
      <c r="D10" s="40"/>
      <c r="E10" s="40"/>
      <c r="F10" s="40"/>
      <c r="G10" s="40"/>
      <c r="H10" s="40"/>
      <c r="I10" s="40"/>
      <c r="J10" s="7">
        <v>1</v>
      </c>
      <c r="K10" s="40"/>
      <c r="L10" s="40"/>
      <c r="M10" s="7">
        <v>1</v>
      </c>
      <c r="N10" s="40"/>
      <c r="O10" s="7">
        <v>1</v>
      </c>
      <c r="P10" s="41"/>
      <c r="Q10" s="7">
        <v>1</v>
      </c>
      <c r="R10" s="40"/>
      <c r="S10" s="40"/>
      <c r="T10" s="19">
        <v>1</v>
      </c>
      <c r="U10" s="40"/>
      <c r="V10" s="183"/>
      <c r="W10" s="185"/>
    </row>
    <row r="11" spans="2:25" ht="18" customHeight="1" x14ac:dyDescent="0.3">
      <c r="B11" s="34" t="s">
        <v>9</v>
      </c>
      <c r="C11" s="3">
        <v>7700</v>
      </c>
      <c r="D11" s="42"/>
      <c r="E11" s="42"/>
      <c r="F11" s="42"/>
      <c r="G11" s="42"/>
      <c r="H11" s="42"/>
      <c r="I11" s="42"/>
      <c r="J11" s="42"/>
      <c r="K11" s="19">
        <v>1</v>
      </c>
      <c r="L11" s="42"/>
      <c r="M11" s="42"/>
      <c r="N11" s="42"/>
      <c r="O11" s="42"/>
      <c r="P11" s="43"/>
      <c r="Q11" s="42"/>
      <c r="R11" s="7">
        <v>1</v>
      </c>
      <c r="S11" s="42"/>
      <c r="T11" s="42"/>
      <c r="U11" s="42"/>
      <c r="V11" s="165" t="s">
        <v>17</v>
      </c>
      <c r="W11" s="166"/>
      <c r="X11" s="166"/>
      <c r="Y11" s="167"/>
    </row>
    <row r="12" spans="2:25" ht="18" customHeight="1" thickBot="1" x14ac:dyDescent="0.35">
      <c r="B12" s="34" t="s">
        <v>10</v>
      </c>
      <c r="C12" s="2">
        <v>7700</v>
      </c>
      <c r="D12" s="44"/>
      <c r="E12" s="44"/>
      <c r="F12" s="44"/>
      <c r="G12" s="44"/>
      <c r="H12" s="45"/>
      <c r="I12" s="44"/>
      <c r="J12" s="45"/>
      <c r="K12" s="20">
        <v>1</v>
      </c>
      <c r="L12" s="44"/>
      <c r="M12" s="44"/>
      <c r="N12" s="44"/>
      <c r="O12" s="45"/>
      <c r="P12" s="46"/>
      <c r="Q12" s="44"/>
      <c r="R12" s="21">
        <v>1</v>
      </c>
      <c r="S12" s="44"/>
      <c r="T12" s="44"/>
      <c r="U12" s="53">
        <v>1</v>
      </c>
      <c r="V12" s="168"/>
      <c r="W12" s="169"/>
      <c r="X12" s="169"/>
      <c r="Y12" s="170"/>
    </row>
    <row r="13" spans="2:25" ht="17.25" customHeight="1" x14ac:dyDescent="0.3">
      <c r="B13" s="25"/>
      <c r="C13" s="1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V13" s="168"/>
      <c r="W13" s="169"/>
      <c r="X13" s="169"/>
      <c r="Y13" s="170"/>
    </row>
    <row r="14" spans="2:25" ht="17.25" customHeight="1" x14ac:dyDescent="0.3">
      <c r="B14" s="29" t="s">
        <v>0</v>
      </c>
      <c r="C14" s="30" t="s">
        <v>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168"/>
      <c r="W14" s="169"/>
      <c r="X14" s="169"/>
      <c r="Y14" s="170"/>
    </row>
    <row r="15" spans="2:25" x14ac:dyDescent="0.3">
      <c r="B15" s="32" t="s">
        <v>2</v>
      </c>
      <c r="C15" s="3">
        <v>5500</v>
      </c>
      <c r="D15" s="23"/>
      <c r="E15" s="23"/>
      <c r="F15" s="23"/>
      <c r="G15" s="23"/>
      <c r="H15" s="23"/>
      <c r="I15" s="23"/>
      <c r="J15" s="23"/>
      <c r="K15" s="31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168"/>
      <c r="W15" s="169"/>
      <c r="X15" s="169"/>
      <c r="Y15" s="170"/>
    </row>
    <row r="16" spans="2:25" ht="17.25" thickBot="1" x14ac:dyDescent="0.35">
      <c r="B16" s="32" t="s">
        <v>3</v>
      </c>
      <c r="C16" s="2">
        <v>5500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171"/>
      <c r="W16" s="172"/>
      <c r="X16" s="172"/>
      <c r="Y16" s="173"/>
    </row>
    <row r="17" spans="2:25" ht="17.25" thickBot="1" x14ac:dyDescent="0.35">
      <c r="B17" s="32" t="s">
        <v>4</v>
      </c>
      <c r="C17" s="3">
        <v>4400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10"/>
      <c r="W17" s="11" t="s">
        <v>18</v>
      </c>
      <c r="X17" s="11"/>
      <c r="Y17" s="11"/>
    </row>
    <row r="18" spans="2:25" x14ac:dyDescent="0.3">
      <c r="B18" s="33" t="s">
        <v>5</v>
      </c>
      <c r="C18" s="3">
        <v>4400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2:25" x14ac:dyDescent="0.3">
      <c r="B19" s="33" t="s">
        <v>6</v>
      </c>
      <c r="C19" s="2">
        <v>5500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2:25" x14ac:dyDescent="0.3">
      <c r="B20" s="33" t="s">
        <v>7</v>
      </c>
      <c r="C20" s="3">
        <v>6600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2:25" x14ac:dyDescent="0.3">
      <c r="B21" s="33" t="s">
        <v>8</v>
      </c>
      <c r="C21" s="2">
        <v>6600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2:25" x14ac:dyDescent="0.3">
      <c r="B22" s="34" t="s">
        <v>9</v>
      </c>
      <c r="C22" s="3">
        <v>7700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2:25" x14ac:dyDescent="0.3">
      <c r="B23" s="34" t="s">
        <v>10</v>
      </c>
      <c r="C23" s="2">
        <v>7700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5" spans="2:25" x14ac:dyDescent="0.3">
      <c r="B25" s="29" t="s">
        <v>0</v>
      </c>
      <c r="C25" s="30" t="s">
        <v>1</v>
      </c>
      <c r="D25" s="31" t="s">
        <v>11</v>
      </c>
    </row>
    <row r="26" spans="2:25" x14ac:dyDescent="0.3">
      <c r="B26" s="32" t="s">
        <v>2</v>
      </c>
      <c r="C26" s="3">
        <v>5500</v>
      </c>
      <c r="D26" s="23">
        <f t="shared" ref="D26:D34" si="0">SUM(D4:Y4,D15:Y15)</f>
        <v>3</v>
      </c>
    </row>
    <row r="27" spans="2:25" x14ac:dyDescent="0.3">
      <c r="B27" s="32" t="s">
        <v>3</v>
      </c>
      <c r="C27" s="2">
        <v>5500</v>
      </c>
      <c r="D27" s="23">
        <f t="shared" si="0"/>
        <v>2</v>
      </c>
    </row>
    <row r="28" spans="2:25" x14ac:dyDescent="0.3">
      <c r="B28" s="32" t="s">
        <v>4</v>
      </c>
      <c r="C28" s="3">
        <v>4400</v>
      </c>
      <c r="D28" s="23">
        <f t="shared" si="0"/>
        <v>1</v>
      </c>
    </row>
    <row r="29" spans="2:25" x14ac:dyDescent="0.3">
      <c r="B29" s="33" t="s">
        <v>5</v>
      </c>
      <c r="C29" s="3">
        <v>4400</v>
      </c>
      <c r="D29" s="23">
        <f t="shared" si="0"/>
        <v>6</v>
      </c>
    </row>
    <row r="30" spans="2:25" x14ac:dyDescent="0.3">
      <c r="B30" s="33" t="s">
        <v>6</v>
      </c>
      <c r="C30" s="2">
        <v>5500</v>
      </c>
      <c r="D30" s="23">
        <f t="shared" si="0"/>
        <v>6</v>
      </c>
    </row>
    <row r="31" spans="2:25" x14ac:dyDescent="0.3">
      <c r="B31" s="33" t="s">
        <v>7</v>
      </c>
      <c r="C31" s="3">
        <v>6600</v>
      </c>
      <c r="D31" s="23">
        <f t="shared" si="0"/>
        <v>4</v>
      </c>
    </row>
    <row r="32" spans="2:25" x14ac:dyDescent="0.3">
      <c r="B32" s="33" t="s">
        <v>8</v>
      </c>
      <c r="C32" s="2">
        <v>6600</v>
      </c>
      <c r="D32" s="23">
        <f t="shared" si="0"/>
        <v>5</v>
      </c>
    </row>
    <row r="33" spans="2:4" x14ac:dyDescent="0.3">
      <c r="B33" s="34" t="s">
        <v>9</v>
      </c>
      <c r="C33" s="3">
        <v>7700</v>
      </c>
      <c r="D33" s="23">
        <f t="shared" si="0"/>
        <v>2</v>
      </c>
    </row>
    <row r="34" spans="2:4" x14ac:dyDescent="0.3">
      <c r="B34" s="34" t="s">
        <v>10</v>
      </c>
      <c r="C34" s="2">
        <v>7700</v>
      </c>
      <c r="D34" s="23">
        <f t="shared" si="0"/>
        <v>3</v>
      </c>
    </row>
  </sheetData>
  <mergeCells count="9">
    <mergeCell ref="V9:V10"/>
    <mergeCell ref="W9:W10"/>
    <mergeCell ref="V11:Y16"/>
    <mergeCell ref="V3:V4"/>
    <mergeCell ref="W3:W4"/>
    <mergeCell ref="V5:V6"/>
    <mergeCell ref="W5:W6"/>
    <mergeCell ref="V7:V8"/>
    <mergeCell ref="W7:W8"/>
  </mergeCells>
  <phoneticPr fontId="4" type="noConversion"/>
  <pageMargins left="0.25" right="0.25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AJ34"/>
  <sheetViews>
    <sheetView topLeftCell="I1" workbookViewId="0">
      <selection activeCell="Y3" sqref="Y3:AB17"/>
    </sheetView>
  </sheetViews>
  <sheetFormatPr defaultRowHeight="16.5" x14ac:dyDescent="0.3"/>
  <cols>
    <col min="2" max="2" width="15.375" customWidth="1"/>
    <col min="3" max="3" width="8.75" customWidth="1"/>
    <col min="4" max="32" width="5.625" customWidth="1"/>
  </cols>
  <sheetData>
    <row r="1" spans="2:36" ht="20.25" customHeight="1" x14ac:dyDescent="0.3"/>
    <row r="2" spans="2:36" ht="20.25" customHeight="1" thickBot="1" x14ac:dyDescent="0.35"/>
    <row r="3" spans="2:36" ht="20.25" customHeight="1" thickTop="1" thickBot="1" x14ac:dyDescent="0.35">
      <c r="B3" s="29" t="s">
        <v>0</v>
      </c>
      <c r="C3" s="30" t="s">
        <v>1</v>
      </c>
      <c r="D3" s="35">
        <v>1131</v>
      </c>
      <c r="E3" s="35">
        <v>1525</v>
      </c>
      <c r="F3" s="35">
        <v>1526</v>
      </c>
      <c r="G3" s="35">
        <v>1624</v>
      </c>
      <c r="H3" s="36">
        <v>903</v>
      </c>
      <c r="I3" s="37">
        <v>1719</v>
      </c>
      <c r="J3" s="35">
        <v>1118</v>
      </c>
      <c r="K3" s="35">
        <v>1716</v>
      </c>
      <c r="L3" s="35">
        <v>619</v>
      </c>
      <c r="M3" s="35">
        <v>1424</v>
      </c>
      <c r="N3" s="35">
        <v>1417</v>
      </c>
      <c r="O3" s="36">
        <v>1528</v>
      </c>
      <c r="P3" s="37">
        <v>801</v>
      </c>
      <c r="Q3" s="35">
        <v>1602</v>
      </c>
      <c r="R3" s="35">
        <v>630</v>
      </c>
      <c r="S3" s="35">
        <v>1630</v>
      </c>
      <c r="T3" s="35">
        <v>1627</v>
      </c>
      <c r="U3" s="36">
        <v>622</v>
      </c>
      <c r="V3" s="37">
        <v>1629</v>
      </c>
      <c r="W3" s="35">
        <v>1628</v>
      </c>
      <c r="X3" s="35">
        <v>611</v>
      </c>
      <c r="Y3" s="35">
        <v>1606</v>
      </c>
      <c r="Z3" s="35">
        <v>1117</v>
      </c>
      <c r="AA3" s="35">
        <v>820</v>
      </c>
      <c r="AB3" s="36">
        <v>1626</v>
      </c>
      <c r="AC3" s="37">
        <v>1616</v>
      </c>
      <c r="AD3" s="35">
        <v>1023</v>
      </c>
      <c r="AE3" s="35">
        <v>1028</v>
      </c>
      <c r="AF3" s="35">
        <v>1031</v>
      </c>
      <c r="AG3" s="186"/>
      <c r="AH3" s="184" t="s">
        <v>13</v>
      </c>
    </row>
    <row r="4" spans="2:36" ht="18" customHeight="1" thickTop="1" thickBot="1" x14ac:dyDescent="0.35">
      <c r="B4" s="32" t="s">
        <v>2</v>
      </c>
      <c r="C4" s="3">
        <v>5500</v>
      </c>
      <c r="D4" s="50">
        <v>1</v>
      </c>
      <c r="E4" s="38"/>
      <c r="F4" s="38"/>
      <c r="G4" s="38"/>
      <c r="H4" s="38"/>
      <c r="I4" s="38"/>
      <c r="J4" s="38"/>
      <c r="K4" s="6">
        <v>1</v>
      </c>
      <c r="L4" s="38"/>
      <c r="M4" s="38"/>
      <c r="N4" s="38"/>
      <c r="O4" s="38"/>
      <c r="P4" s="18"/>
      <c r="Q4" s="39"/>
      <c r="R4" s="38"/>
      <c r="S4" s="38"/>
      <c r="T4" s="38"/>
      <c r="U4" s="38"/>
      <c r="V4" s="38"/>
      <c r="W4" s="38"/>
      <c r="X4" s="50">
        <v>2</v>
      </c>
      <c r="Y4" s="38"/>
      <c r="Z4" s="38"/>
      <c r="AA4" s="38"/>
      <c r="AB4" s="6">
        <v>1</v>
      </c>
      <c r="AC4" s="18"/>
      <c r="AD4" s="39"/>
      <c r="AE4" s="38"/>
      <c r="AF4" s="38"/>
      <c r="AG4" s="187"/>
      <c r="AH4" s="185"/>
    </row>
    <row r="5" spans="2:36" ht="18" customHeight="1" x14ac:dyDescent="0.3">
      <c r="B5" s="32" t="s">
        <v>3</v>
      </c>
      <c r="C5" s="2">
        <v>5500</v>
      </c>
      <c r="D5" s="19">
        <v>1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1"/>
      <c r="Q5" s="40"/>
      <c r="R5" s="40"/>
      <c r="S5" s="40"/>
      <c r="T5" s="40"/>
      <c r="U5" s="40"/>
      <c r="V5" s="40"/>
      <c r="W5" s="40"/>
      <c r="X5" s="40"/>
      <c r="Y5" s="49">
        <v>1</v>
      </c>
      <c r="Z5" s="40"/>
      <c r="AA5" s="40"/>
      <c r="AB5" s="40"/>
      <c r="AC5" s="41"/>
      <c r="AD5" s="40"/>
      <c r="AE5" s="7">
        <v>2</v>
      </c>
      <c r="AF5" s="40"/>
      <c r="AG5" s="188"/>
      <c r="AH5" s="184" t="s">
        <v>14</v>
      </c>
    </row>
    <row r="6" spans="2:36" ht="18" customHeight="1" thickBot="1" x14ac:dyDescent="0.35">
      <c r="B6" s="32" t="s">
        <v>4</v>
      </c>
      <c r="C6" s="3">
        <v>4400</v>
      </c>
      <c r="D6" s="42"/>
      <c r="E6" s="42"/>
      <c r="F6" s="42"/>
      <c r="G6" s="42"/>
      <c r="H6" s="19">
        <v>1</v>
      </c>
      <c r="I6" s="42"/>
      <c r="J6" s="42"/>
      <c r="K6" s="42"/>
      <c r="L6" s="19">
        <v>1</v>
      </c>
      <c r="M6" s="42"/>
      <c r="N6" s="42"/>
      <c r="O6" s="42"/>
      <c r="P6" s="43"/>
      <c r="Q6" s="7">
        <v>1</v>
      </c>
      <c r="R6" s="42"/>
      <c r="S6" s="42"/>
      <c r="T6" s="42"/>
      <c r="U6" s="42"/>
      <c r="V6" s="42"/>
      <c r="W6" s="42"/>
      <c r="X6" s="42"/>
      <c r="Y6" s="49">
        <v>1</v>
      </c>
      <c r="Z6" s="42"/>
      <c r="AA6" s="42"/>
      <c r="AB6" s="42"/>
      <c r="AC6" s="43"/>
      <c r="AD6" s="42"/>
      <c r="AE6" s="42"/>
      <c r="AF6" s="42"/>
      <c r="AG6" s="189"/>
      <c r="AH6" s="185"/>
    </row>
    <row r="7" spans="2:36" ht="18" customHeight="1" x14ac:dyDescent="0.3">
      <c r="B7" s="33" t="s">
        <v>5</v>
      </c>
      <c r="C7" s="3">
        <v>4400</v>
      </c>
      <c r="D7" s="42"/>
      <c r="E7" s="14">
        <v>1</v>
      </c>
      <c r="F7" s="14">
        <v>1</v>
      </c>
      <c r="G7" s="42"/>
      <c r="H7" s="42"/>
      <c r="I7" s="42"/>
      <c r="J7" s="49">
        <v>1</v>
      </c>
      <c r="K7" s="42"/>
      <c r="L7" s="42"/>
      <c r="M7" s="42"/>
      <c r="N7" s="19">
        <v>1</v>
      </c>
      <c r="O7" s="7">
        <v>1</v>
      </c>
      <c r="P7" s="43"/>
      <c r="Q7" s="42"/>
      <c r="R7" s="7">
        <v>1</v>
      </c>
      <c r="S7" s="42"/>
      <c r="T7" s="7">
        <v>1</v>
      </c>
      <c r="U7" s="42"/>
      <c r="V7" s="7">
        <v>1</v>
      </c>
      <c r="W7" s="42"/>
      <c r="X7" s="42"/>
      <c r="Y7" s="42"/>
      <c r="Z7" s="42"/>
      <c r="AA7" s="42"/>
      <c r="AB7" s="42"/>
      <c r="AC7" s="43"/>
      <c r="AD7" s="42"/>
      <c r="AE7" s="42"/>
      <c r="AF7" s="42"/>
      <c r="AG7" s="190"/>
      <c r="AH7" s="184" t="s">
        <v>15</v>
      </c>
    </row>
    <row r="8" spans="2:36" ht="18" customHeight="1" thickBot="1" x14ac:dyDescent="0.35">
      <c r="B8" s="33" t="s">
        <v>6</v>
      </c>
      <c r="C8" s="2">
        <v>5500</v>
      </c>
      <c r="D8" s="7">
        <v>1</v>
      </c>
      <c r="E8" s="14">
        <v>1</v>
      </c>
      <c r="F8" s="40"/>
      <c r="G8" s="7">
        <v>1</v>
      </c>
      <c r="H8" s="40"/>
      <c r="I8" s="40"/>
      <c r="J8" s="49">
        <v>1</v>
      </c>
      <c r="K8" s="7">
        <v>1</v>
      </c>
      <c r="L8" s="40"/>
      <c r="M8" s="19">
        <v>1</v>
      </c>
      <c r="N8" s="40"/>
      <c r="O8" s="7">
        <v>1</v>
      </c>
      <c r="P8" s="41"/>
      <c r="Q8" s="40"/>
      <c r="R8" s="19">
        <v>1</v>
      </c>
      <c r="S8" s="40"/>
      <c r="T8" s="7">
        <v>1</v>
      </c>
      <c r="U8" s="19">
        <v>1</v>
      </c>
      <c r="V8" s="40"/>
      <c r="W8" s="40"/>
      <c r="X8" s="40"/>
      <c r="Y8" s="40"/>
      <c r="Z8" s="19">
        <v>1</v>
      </c>
      <c r="AA8" s="40"/>
      <c r="AB8" s="40"/>
      <c r="AC8" s="41"/>
      <c r="AD8" s="40"/>
      <c r="AE8" s="40"/>
      <c r="AF8" s="19">
        <v>1</v>
      </c>
      <c r="AG8" s="191"/>
      <c r="AH8" s="185"/>
    </row>
    <row r="9" spans="2:36" ht="18" customHeight="1" x14ac:dyDescent="0.3">
      <c r="B9" s="33" t="s">
        <v>7</v>
      </c>
      <c r="C9" s="3">
        <v>6600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7">
        <v>1</v>
      </c>
      <c r="P9" s="43"/>
      <c r="Q9" s="42"/>
      <c r="R9" s="42"/>
      <c r="S9" s="49">
        <v>1</v>
      </c>
      <c r="T9" s="7">
        <v>1</v>
      </c>
      <c r="U9" s="42"/>
      <c r="V9" s="42"/>
      <c r="W9" s="42"/>
      <c r="X9" s="42"/>
      <c r="Y9" s="42"/>
      <c r="Z9" s="42"/>
      <c r="AA9" s="19">
        <v>1</v>
      </c>
      <c r="AB9" s="42"/>
      <c r="AC9" s="43"/>
      <c r="AD9" s="19">
        <v>1</v>
      </c>
      <c r="AE9" s="42"/>
      <c r="AF9" s="42"/>
      <c r="AG9" s="182"/>
      <c r="AH9" s="184" t="s">
        <v>16</v>
      </c>
    </row>
    <row r="10" spans="2:36" ht="18" customHeight="1" thickBot="1" x14ac:dyDescent="0.35">
      <c r="B10" s="33" t="s">
        <v>8</v>
      </c>
      <c r="C10" s="2">
        <v>6600</v>
      </c>
      <c r="D10" s="40"/>
      <c r="E10" s="40"/>
      <c r="F10" s="40"/>
      <c r="G10" s="7">
        <v>1</v>
      </c>
      <c r="H10" s="40"/>
      <c r="I10" s="7">
        <v>1</v>
      </c>
      <c r="J10" s="40"/>
      <c r="K10" s="40"/>
      <c r="L10" s="40"/>
      <c r="M10" s="40"/>
      <c r="N10" s="40"/>
      <c r="O10" s="40"/>
      <c r="P10" s="41"/>
      <c r="Q10" s="40"/>
      <c r="R10" s="40"/>
      <c r="S10" s="49">
        <v>1</v>
      </c>
      <c r="T10" s="7">
        <v>1</v>
      </c>
      <c r="U10" s="40"/>
      <c r="V10" s="40"/>
      <c r="W10" s="40"/>
      <c r="X10" s="40"/>
      <c r="Y10" s="40"/>
      <c r="Z10" s="40"/>
      <c r="AA10" s="19">
        <v>1</v>
      </c>
      <c r="AB10" s="40"/>
      <c r="AC10" s="41"/>
      <c r="AD10" s="40"/>
      <c r="AE10" s="40"/>
      <c r="AF10" s="40"/>
      <c r="AG10" s="183"/>
      <c r="AH10" s="185"/>
    </row>
    <row r="11" spans="2:36" ht="18" customHeight="1" x14ac:dyDescent="0.3">
      <c r="B11" s="34" t="s">
        <v>9</v>
      </c>
      <c r="C11" s="3">
        <v>7700</v>
      </c>
      <c r="D11" s="42"/>
      <c r="E11" s="42"/>
      <c r="F11" s="42"/>
      <c r="G11" s="7">
        <v>1</v>
      </c>
      <c r="H11" s="42"/>
      <c r="I11" s="42"/>
      <c r="J11" s="42"/>
      <c r="K11" s="42"/>
      <c r="L11" s="42"/>
      <c r="M11" s="42"/>
      <c r="N11" s="42"/>
      <c r="O11" s="42"/>
      <c r="P11" s="43"/>
      <c r="Q11" s="42"/>
      <c r="R11" s="42"/>
      <c r="S11" s="42"/>
      <c r="T11" s="42"/>
      <c r="U11" s="42"/>
      <c r="V11" s="42"/>
      <c r="W11" s="19">
        <v>1</v>
      </c>
      <c r="X11" s="42"/>
      <c r="Y11" s="42"/>
      <c r="Z11" s="42"/>
      <c r="AA11" s="42"/>
      <c r="AB11" s="42"/>
      <c r="AC11" s="15">
        <v>1</v>
      </c>
      <c r="AD11" s="42"/>
      <c r="AE11" s="42"/>
      <c r="AF11" s="42"/>
      <c r="AG11" s="165" t="s">
        <v>17</v>
      </c>
      <c r="AH11" s="166"/>
      <c r="AI11" s="166"/>
      <c r="AJ11" s="167"/>
    </row>
    <row r="12" spans="2:36" ht="18" customHeight="1" thickBot="1" x14ac:dyDescent="0.35">
      <c r="B12" s="34" t="s">
        <v>10</v>
      </c>
      <c r="C12" s="2">
        <v>7700</v>
      </c>
      <c r="D12" s="44"/>
      <c r="E12" s="44"/>
      <c r="F12" s="44"/>
      <c r="G12" s="21">
        <v>1</v>
      </c>
      <c r="H12" s="45"/>
      <c r="I12" s="44"/>
      <c r="J12" s="45"/>
      <c r="K12" s="44"/>
      <c r="L12" s="44"/>
      <c r="M12" s="44"/>
      <c r="N12" s="44"/>
      <c r="O12" s="45"/>
      <c r="P12" s="54">
        <v>1</v>
      </c>
      <c r="Q12" s="44"/>
      <c r="R12" s="44"/>
      <c r="S12" s="44"/>
      <c r="T12" s="44"/>
      <c r="U12" s="45"/>
      <c r="V12" s="44"/>
      <c r="W12" s="45"/>
      <c r="X12" s="44"/>
      <c r="Y12" s="44"/>
      <c r="Z12" s="44"/>
      <c r="AA12" s="44"/>
      <c r="AB12" s="45"/>
      <c r="AC12" s="46"/>
      <c r="AD12" s="44"/>
      <c r="AE12" s="44"/>
      <c r="AF12" s="44"/>
      <c r="AG12" s="168"/>
      <c r="AH12" s="169"/>
      <c r="AI12" s="169"/>
      <c r="AJ12" s="170"/>
    </row>
    <row r="13" spans="2:36" ht="17.25" customHeight="1" x14ac:dyDescent="0.3">
      <c r="B13" s="25"/>
      <c r="C13" s="1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AG13" s="168"/>
      <c r="AH13" s="169"/>
      <c r="AI13" s="169"/>
      <c r="AJ13" s="170"/>
    </row>
    <row r="14" spans="2:36" ht="17.25" customHeight="1" x14ac:dyDescent="0.3">
      <c r="B14" s="29" t="s">
        <v>0</v>
      </c>
      <c r="C14" s="30" t="s">
        <v>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168"/>
      <c r="AH14" s="169"/>
      <c r="AI14" s="169"/>
      <c r="AJ14" s="170"/>
    </row>
    <row r="15" spans="2:36" x14ac:dyDescent="0.3">
      <c r="B15" s="32" t="s">
        <v>2</v>
      </c>
      <c r="C15" s="3">
        <v>5500</v>
      </c>
      <c r="D15" s="23"/>
      <c r="E15" s="23"/>
      <c r="F15" s="23"/>
      <c r="G15" s="23"/>
      <c r="H15" s="23"/>
      <c r="I15" s="23"/>
      <c r="J15" s="23"/>
      <c r="K15" s="31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31"/>
      <c r="X15" s="23"/>
      <c r="Y15" s="23"/>
      <c r="Z15" s="23"/>
      <c r="AA15" s="23"/>
      <c r="AB15" s="23"/>
      <c r="AC15" s="23"/>
      <c r="AD15" s="23"/>
      <c r="AE15" s="23"/>
      <c r="AF15" s="23"/>
      <c r="AG15" s="168"/>
      <c r="AH15" s="169"/>
      <c r="AI15" s="169"/>
      <c r="AJ15" s="170"/>
    </row>
    <row r="16" spans="2:36" ht="17.25" thickBot="1" x14ac:dyDescent="0.35">
      <c r="B16" s="32" t="s">
        <v>3</v>
      </c>
      <c r="C16" s="2">
        <v>5500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171"/>
      <c r="AH16" s="172"/>
      <c r="AI16" s="172"/>
      <c r="AJ16" s="173"/>
    </row>
    <row r="17" spans="2:36" ht="17.25" thickBot="1" x14ac:dyDescent="0.35">
      <c r="B17" s="32" t="s">
        <v>4</v>
      </c>
      <c r="C17" s="3">
        <v>4400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10"/>
      <c r="AH17" s="11" t="s">
        <v>18</v>
      </c>
      <c r="AI17" s="11"/>
      <c r="AJ17" s="11"/>
    </row>
    <row r="18" spans="2:36" x14ac:dyDescent="0.3">
      <c r="B18" s="33" t="s">
        <v>5</v>
      </c>
      <c r="C18" s="3">
        <v>4400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2:36" x14ac:dyDescent="0.3">
      <c r="B19" s="33" t="s">
        <v>6</v>
      </c>
      <c r="C19" s="2">
        <v>5500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 spans="2:36" x14ac:dyDescent="0.3">
      <c r="B20" s="33" t="s">
        <v>7</v>
      </c>
      <c r="C20" s="3">
        <v>6600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2:36" x14ac:dyDescent="0.3">
      <c r="B21" s="33" t="s">
        <v>8</v>
      </c>
      <c r="C21" s="2">
        <v>6600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</row>
    <row r="22" spans="2:36" x14ac:dyDescent="0.3">
      <c r="B22" s="34" t="s">
        <v>9</v>
      </c>
      <c r="C22" s="3">
        <v>7700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2:36" x14ac:dyDescent="0.3">
      <c r="B23" s="34" t="s">
        <v>10</v>
      </c>
      <c r="C23" s="2">
        <v>7700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</row>
    <row r="25" spans="2:36" x14ac:dyDescent="0.3">
      <c r="B25" s="29" t="s">
        <v>0</v>
      </c>
      <c r="C25" s="30" t="s">
        <v>1</v>
      </c>
      <c r="D25" s="31" t="s">
        <v>11</v>
      </c>
    </row>
    <row r="26" spans="2:36" x14ac:dyDescent="0.3">
      <c r="B26" s="32" t="s">
        <v>2</v>
      </c>
      <c r="C26" s="3">
        <v>5500</v>
      </c>
      <c r="D26" s="23">
        <f t="shared" ref="D26:D34" si="0">SUM(D4:AH4,D15:AH15)</f>
        <v>5</v>
      </c>
    </row>
    <row r="27" spans="2:36" x14ac:dyDescent="0.3">
      <c r="B27" s="32" t="s">
        <v>3</v>
      </c>
      <c r="C27" s="2">
        <v>5500</v>
      </c>
      <c r="D27" s="23">
        <f t="shared" si="0"/>
        <v>4</v>
      </c>
    </row>
    <row r="28" spans="2:36" x14ac:dyDescent="0.3">
      <c r="B28" s="32" t="s">
        <v>4</v>
      </c>
      <c r="C28" s="3">
        <v>4400</v>
      </c>
      <c r="D28" s="23">
        <f t="shared" si="0"/>
        <v>4</v>
      </c>
    </row>
    <row r="29" spans="2:36" x14ac:dyDescent="0.3">
      <c r="B29" s="33" t="s">
        <v>5</v>
      </c>
      <c r="C29" s="3">
        <v>4400</v>
      </c>
      <c r="D29" s="23">
        <f t="shared" si="0"/>
        <v>8</v>
      </c>
    </row>
    <row r="30" spans="2:36" x14ac:dyDescent="0.3">
      <c r="B30" s="33" t="s">
        <v>6</v>
      </c>
      <c r="C30" s="2">
        <v>5500</v>
      </c>
      <c r="D30" s="23">
        <f t="shared" si="0"/>
        <v>12</v>
      </c>
    </row>
    <row r="31" spans="2:36" x14ac:dyDescent="0.3">
      <c r="B31" s="33" t="s">
        <v>7</v>
      </c>
      <c r="C31" s="3">
        <v>6600</v>
      </c>
      <c r="D31" s="23">
        <f t="shared" si="0"/>
        <v>5</v>
      </c>
    </row>
    <row r="32" spans="2:36" x14ac:dyDescent="0.3">
      <c r="B32" s="33" t="s">
        <v>8</v>
      </c>
      <c r="C32" s="2">
        <v>6600</v>
      </c>
      <c r="D32" s="23">
        <f t="shared" si="0"/>
        <v>5</v>
      </c>
    </row>
    <row r="33" spans="2:4" x14ac:dyDescent="0.3">
      <c r="B33" s="34" t="s">
        <v>9</v>
      </c>
      <c r="C33" s="3">
        <v>7700</v>
      </c>
      <c r="D33" s="23">
        <f t="shared" si="0"/>
        <v>3</v>
      </c>
    </row>
    <row r="34" spans="2:4" x14ac:dyDescent="0.3">
      <c r="B34" s="34" t="s">
        <v>10</v>
      </c>
      <c r="C34" s="2">
        <v>7700</v>
      </c>
      <c r="D34" s="23">
        <f t="shared" si="0"/>
        <v>2</v>
      </c>
    </row>
  </sheetData>
  <mergeCells count="9">
    <mergeCell ref="AH9:AH10"/>
    <mergeCell ref="AG11:AJ16"/>
    <mergeCell ref="AG3:AG4"/>
    <mergeCell ref="AH3:AH4"/>
    <mergeCell ref="AG5:AG6"/>
    <mergeCell ref="AH5:AH6"/>
    <mergeCell ref="AG7:AG8"/>
    <mergeCell ref="AH7:AH8"/>
    <mergeCell ref="AG9:AG10"/>
  </mergeCells>
  <phoneticPr fontId="4" type="noConversion"/>
  <pageMargins left="0.25" right="0.25" top="0.75" bottom="0.75" header="0.3" footer="0.3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34"/>
  <sheetViews>
    <sheetView workbookViewId="0">
      <selection activeCell="Y3" sqref="Y3:AB17"/>
    </sheetView>
  </sheetViews>
  <sheetFormatPr defaultRowHeight="16.5" x14ac:dyDescent="0.3"/>
  <cols>
    <col min="2" max="2" width="15.375" customWidth="1"/>
    <col min="3" max="3" width="8.75" customWidth="1"/>
    <col min="4" max="17" width="5.625" customWidth="1"/>
  </cols>
  <sheetData>
    <row r="1" spans="2:17" ht="20.25" customHeight="1" x14ac:dyDescent="0.3"/>
    <row r="2" spans="2:17" ht="20.25" customHeight="1" x14ac:dyDescent="0.3"/>
    <row r="3" spans="2:17" ht="20.25" customHeight="1" x14ac:dyDescent="0.3">
      <c r="B3" s="29" t="s">
        <v>0</v>
      </c>
      <c r="C3" s="30" t="s">
        <v>1</v>
      </c>
      <c r="D3" s="31">
        <v>1227</v>
      </c>
      <c r="E3" s="31">
        <v>1624</v>
      </c>
      <c r="F3" s="31">
        <v>1524</v>
      </c>
      <c r="G3" s="31">
        <v>1628</v>
      </c>
      <c r="H3" s="31">
        <v>1701</v>
      </c>
      <c r="I3" s="31">
        <v>611</v>
      </c>
      <c r="J3" s="31">
        <v>1506</v>
      </c>
      <c r="K3" s="31">
        <v>1003</v>
      </c>
      <c r="L3" s="31">
        <v>1525</v>
      </c>
      <c r="M3" s="31">
        <v>922</v>
      </c>
      <c r="N3" s="31">
        <v>1218</v>
      </c>
      <c r="O3" s="31">
        <v>1414</v>
      </c>
      <c r="P3" s="31">
        <v>1223</v>
      </c>
      <c r="Q3" s="31">
        <v>1414</v>
      </c>
    </row>
    <row r="4" spans="2:17" ht="18" customHeight="1" x14ac:dyDescent="0.3">
      <c r="B4" s="32" t="s">
        <v>2</v>
      </c>
      <c r="C4" s="3">
        <v>5500</v>
      </c>
      <c r="D4" s="23"/>
      <c r="E4" s="4">
        <v>1</v>
      </c>
      <c r="F4" s="23"/>
      <c r="G4" s="23"/>
      <c r="H4" s="23"/>
      <c r="I4" s="59">
        <v>1</v>
      </c>
      <c r="J4" s="23"/>
      <c r="K4" s="31"/>
      <c r="L4" s="12">
        <v>2</v>
      </c>
      <c r="M4" s="23"/>
      <c r="N4" s="23"/>
      <c r="O4" s="23"/>
      <c r="P4" s="23"/>
      <c r="Q4" s="23"/>
    </row>
    <row r="5" spans="2:17" ht="18" customHeight="1" x14ac:dyDescent="0.3">
      <c r="B5" s="32" t="s">
        <v>3</v>
      </c>
      <c r="C5" s="2">
        <v>5500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spans="2:17" ht="18" customHeight="1" x14ac:dyDescent="0.3">
      <c r="B6" s="32" t="s">
        <v>4</v>
      </c>
      <c r="C6" s="3">
        <v>4400</v>
      </c>
      <c r="D6" s="23"/>
      <c r="E6" s="23"/>
      <c r="F6" s="23"/>
      <c r="G6" s="23"/>
      <c r="H6" s="23"/>
      <c r="I6" s="23"/>
      <c r="J6" s="23"/>
      <c r="K6" s="58">
        <v>1</v>
      </c>
      <c r="L6" s="23"/>
      <c r="M6" s="23"/>
      <c r="N6" s="23"/>
      <c r="O6" s="23"/>
      <c r="P6" s="23"/>
      <c r="Q6" s="23"/>
    </row>
    <row r="7" spans="2:17" ht="18" customHeight="1" x14ac:dyDescent="0.3">
      <c r="B7" s="33" t="s">
        <v>5</v>
      </c>
      <c r="C7" s="3">
        <v>4400</v>
      </c>
      <c r="D7" s="23"/>
      <c r="E7" s="23"/>
      <c r="F7" s="23"/>
      <c r="G7" s="23"/>
      <c r="H7" s="4">
        <v>1</v>
      </c>
      <c r="I7" s="23"/>
      <c r="J7" s="59">
        <v>1</v>
      </c>
      <c r="K7" s="23"/>
      <c r="L7" s="23"/>
      <c r="M7" s="58">
        <v>1</v>
      </c>
      <c r="N7" s="12">
        <v>1</v>
      </c>
      <c r="O7" s="23"/>
      <c r="P7" s="23"/>
      <c r="Q7" s="23"/>
    </row>
    <row r="8" spans="2:17" ht="18" customHeight="1" x14ac:dyDescent="0.3">
      <c r="B8" s="33" t="s">
        <v>6</v>
      </c>
      <c r="C8" s="2">
        <v>5500</v>
      </c>
      <c r="D8" s="22"/>
      <c r="E8" s="22"/>
      <c r="F8" s="12">
        <v>1</v>
      </c>
      <c r="G8" s="59">
        <v>1</v>
      </c>
      <c r="H8" s="4">
        <v>1</v>
      </c>
      <c r="I8" s="22"/>
      <c r="J8" s="59">
        <v>1</v>
      </c>
      <c r="K8" s="22"/>
      <c r="L8" s="22"/>
      <c r="M8" s="22"/>
      <c r="N8" s="22"/>
      <c r="O8" s="58">
        <v>1</v>
      </c>
      <c r="P8" s="22"/>
      <c r="Q8" s="58">
        <v>1</v>
      </c>
    </row>
    <row r="9" spans="2:17" ht="18" customHeight="1" x14ac:dyDescent="0.3">
      <c r="B9" s="33" t="s">
        <v>7</v>
      </c>
      <c r="C9" s="3">
        <v>6600</v>
      </c>
      <c r="D9" s="23"/>
      <c r="E9" s="23"/>
      <c r="F9" s="23"/>
      <c r="G9" s="23"/>
      <c r="H9" s="23"/>
      <c r="I9" s="23"/>
      <c r="J9" s="59">
        <v>1</v>
      </c>
      <c r="K9" s="23"/>
      <c r="L9" s="12">
        <v>1</v>
      </c>
      <c r="M9" s="23"/>
      <c r="N9" s="23"/>
      <c r="O9" s="23"/>
      <c r="P9" s="23"/>
      <c r="Q9" s="23"/>
    </row>
    <row r="10" spans="2:17" ht="18" customHeight="1" x14ac:dyDescent="0.3">
      <c r="B10" s="33" t="s">
        <v>8</v>
      </c>
      <c r="C10" s="2">
        <v>6600</v>
      </c>
      <c r="D10" s="12">
        <v>1</v>
      </c>
      <c r="E10" s="22"/>
      <c r="F10" s="22"/>
      <c r="G10" s="22"/>
      <c r="H10" s="22"/>
      <c r="I10" s="22"/>
      <c r="J10" s="59">
        <v>1</v>
      </c>
      <c r="K10" s="22"/>
      <c r="L10" s="22"/>
      <c r="M10" s="22"/>
      <c r="N10" s="22"/>
      <c r="O10" s="22"/>
      <c r="P10" s="4">
        <v>1</v>
      </c>
      <c r="Q10" s="22"/>
    </row>
    <row r="11" spans="2:17" ht="18" customHeight="1" x14ac:dyDescent="0.3">
      <c r="B11" s="34" t="s">
        <v>9</v>
      </c>
      <c r="C11" s="3">
        <v>7700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2:17" ht="18" customHeight="1" x14ac:dyDescent="0.3">
      <c r="B12" s="34" t="s">
        <v>10</v>
      </c>
      <c r="C12" s="2">
        <v>7700</v>
      </c>
      <c r="D12" s="22"/>
      <c r="E12" s="22"/>
      <c r="F12" s="22"/>
      <c r="G12" s="22"/>
      <c r="H12" s="22"/>
      <c r="I12" s="22"/>
      <c r="J12" s="22"/>
      <c r="K12" s="22"/>
      <c r="L12" s="12">
        <v>1</v>
      </c>
      <c r="M12" s="22"/>
      <c r="N12" s="22"/>
      <c r="O12" s="22"/>
      <c r="P12" s="22"/>
      <c r="Q12" s="22"/>
    </row>
    <row r="13" spans="2:17" ht="17.25" customHeight="1" x14ac:dyDescent="0.3">
      <c r="B13" s="25"/>
      <c r="C13" s="1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2:17" ht="17.25" customHeight="1" x14ac:dyDescent="0.3">
      <c r="B14" s="29" t="s">
        <v>0</v>
      </c>
      <c r="C14" s="30" t="s">
        <v>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</row>
    <row r="15" spans="2:17" x14ac:dyDescent="0.3">
      <c r="B15" s="32" t="s">
        <v>2</v>
      </c>
      <c r="C15" s="3">
        <v>5500</v>
      </c>
      <c r="D15" s="23"/>
      <c r="E15" s="23"/>
      <c r="F15" s="23"/>
      <c r="G15" s="23"/>
      <c r="H15" s="23"/>
      <c r="I15" s="23"/>
      <c r="J15" s="23"/>
      <c r="K15" s="31"/>
      <c r="L15" s="23"/>
      <c r="M15" s="23"/>
      <c r="N15" s="23"/>
      <c r="O15" s="23"/>
      <c r="P15" s="23"/>
      <c r="Q15" s="23"/>
    </row>
    <row r="16" spans="2:17" x14ac:dyDescent="0.3">
      <c r="B16" s="32" t="s">
        <v>3</v>
      </c>
      <c r="C16" s="2">
        <v>5500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x14ac:dyDescent="0.3">
      <c r="B17" s="32" t="s">
        <v>4</v>
      </c>
      <c r="C17" s="3">
        <v>4400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2:17" x14ac:dyDescent="0.3">
      <c r="B18" s="33" t="s">
        <v>5</v>
      </c>
      <c r="C18" s="3">
        <v>4400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spans="2:17" x14ac:dyDescent="0.3">
      <c r="B19" s="33" t="s">
        <v>6</v>
      </c>
      <c r="C19" s="2">
        <v>5500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2:17" x14ac:dyDescent="0.3">
      <c r="B20" s="33" t="s">
        <v>7</v>
      </c>
      <c r="C20" s="3">
        <v>6600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2:17" x14ac:dyDescent="0.3">
      <c r="B21" s="33" t="s">
        <v>8</v>
      </c>
      <c r="C21" s="2">
        <v>6600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</row>
    <row r="22" spans="2:17" x14ac:dyDescent="0.3">
      <c r="B22" s="34" t="s">
        <v>9</v>
      </c>
      <c r="C22" s="3">
        <v>7700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2:17" x14ac:dyDescent="0.3">
      <c r="B23" s="34" t="s">
        <v>10</v>
      </c>
      <c r="C23" s="2">
        <v>7700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5" spans="2:17" x14ac:dyDescent="0.3">
      <c r="B25" s="29" t="s">
        <v>0</v>
      </c>
      <c r="C25" s="30" t="s">
        <v>1</v>
      </c>
      <c r="D25" s="31" t="s">
        <v>11</v>
      </c>
    </row>
    <row r="26" spans="2:17" x14ac:dyDescent="0.3">
      <c r="B26" s="32" t="s">
        <v>2</v>
      </c>
      <c r="C26" s="3">
        <v>5500</v>
      </c>
      <c r="D26" s="23">
        <f t="shared" ref="D26:D34" si="0">SUM(D4:AG4,D15:AG15)</f>
        <v>4</v>
      </c>
    </row>
    <row r="27" spans="2:17" x14ac:dyDescent="0.3">
      <c r="B27" s="32" t="s">
        <v>3</v>
      </c>
      <c r="C27" s="2">
        <v>5500</v>
      </c>
      <c r="D27" s="23">
        <f t="shared" si="0"/>
        <v>0</v>
      </c>
    </row>
    <row r="28" spans="2:17" x14ac:dyDescent="0.3">
      <c r="B28" s="32" t="s">
        <v>4</v>
      </c>
      <c r="C28" s="3">
        <v>4400</v>
      </c>
      <c r="D28" s="23">
        <f t="shared" si="0"/>
        <v>1</v>
      </c>
    </row>
    <row r="29" spans="2:17" x14ac:dyDescent="0.3">
      <c r="B29" s="33" t="s">
        <v>5</v>
      </c>
      <c r="C29" s="3">
        <v>4400</v>
      </c>
      <c r="D29" s="23">
        <f t="shared" si="0"/>
        <v>4</v>
      </c>
    </row>
    <row r="30" spans="2:17" x14ac:dyDescent="0.3">
      <c r="B30" s="33" t="s">
        <v>6</v>
      </c>
      <c r="C30" s="2">
        <v>5500</v>
      </c>
      <c r="D30" s="23">
        <f t="shared" si="0"/>
        <v>6</v>
      </c>
    </row>
    <row r="31" spans="2:17" x14ac:dyDescent="0.3">
      <c r="B31" s="33" t="s">
        <v>7</v>
      </c>
      <c r="C31" s="3">
        <v>6600</v>
      </c>
      <c r="D31" s="23">
        <f t="shared" si="0"/>
        <v>2</v>
      </c>
    </row>
    <row r="32" spans="2:17" x14ac:dyDescent="0.3">
      <c r="B32" s="33" t="s">
        <v>8</v>
      </c>
      <c r="C32" s="2">
        <v>6600</v>
      </c>
      <c r="D32" s="23">
        <f t="shared" si="0"/>
        <v>3</v>
      </c>
    </row>
    <row r="33" spans="2:4" x14ac:dyDescent="0.3">
      <c r="B33" s="34" t="s">
        <v>9</v>
      </c>
      <c r="C33" s="3">
        <v>7700</v>
      </c>
      <c r="D33" s="23">
        <f t="shared" si="0"/>
        <v>0</v>
      </c>
    </row>
    <row r="34" spans="2:4" x14ac:dyDescent="0.3">
      <c r="B34" s="34" t="s">
        <v>10</v>
      </c>
      <c r="C34" s="2">
        <v>7700</v>
      </c>
      <c r="D34" s="23">
        <f t="shared" si="0"/>
        <v>1</v>
      </c>
    </row>
  </sheetData>
  <phoneticPr fontId="4" type="noConversion"/>
  <pageMargins left="0.25" right="0.25" top="0.75" bottom="0.75" header="0.3" footer="0.3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AA34"/>
  <sheetViews>
    <sheetView workbookViewId="0">
      <selection activeCell="Y3" sqref="Y3:AB17"/>
    </sheetView>
  </sheetViews>
  <sheetFormatPr defaultRowHeight="16.5" x14ac:dyDescent="0.3"/>
  <cols>
    <col min="2" max="2" width="15.375" customWidth="1"/>
    <col min="3" max="3" width="8.75" customWidth="1"/>
    <col min="4" max="23" width="5.625" customWidth="1"/>
  </cols>
  <sheetData>
    <row r="1" spans="2:27" ht="20.25" customHeight="1" x14ac:dyDescent="0.3"/>
    <row r="2" spans="2:27" ht="20.25" customHeight="1" thickBot="1" x14ac:dyDescent="0.35"/>
    <row r="3" spans="2:27" ht="20.25" customHeight="1" thickTop="1" thickBot="1" x14ac:dyDescent="0.35">
      <c r="B3" s="29" t="s">
        <v>0</v>
      </c>
      <c r="C3" s="30" t="s">
        <v>1</v>
      </c>
      <c r="D3" s="35">
        <v>925</v>
      </c>
      <c r="E3" s="35">
        <v>905</v>
      </c>
      <c r="F3" s="35">
        <v>1422</v>
      </c>
      <c r="G3" s="35">
        <v>1420</v>
      </c>
      <c r="H3" s="36">
        <v>1029</v>
      </c>
      <c r="I3" s="37">
        <v>1117</v>
      </c>
      <c r="J3" s="35">
        <v>1106</v>
      </c>
      <c r="K3" s="35">
        <v>918</v>
      </c>
      <c r="L3" s="35">
        <v>1705</v>
      </c>
      <c r="M3" s="35">
        <v>1528</v>
      </c>
      <c r="N3" s="35">
        <v>925</v>
      </c>
      <c r="O3" s="36">
        <v>1405</v>
      </c>
      <c r="P3" s="37">
        <v>1206</v>
      </c>
      <c r="Q3" s="35">
        <v>1702</v>
      </c>
      <c r="R3" s="35">
        <v>601</v>
      </c>
      <c r="S3" s="35">
        <v>622</v>
      </c>
      <c r="T3" s="35">
        <v>1723</v>
      </c>
      <c r="U3" s="36">
        <v>616</v>
      </c>
      <c r="V3" s="37">
        <v>1601</v>
      </c>
      <c r="W3" s="35">
        <v>1203</v>
      </c>
      <c r="X3" s="186"/>
      <c r="Y3" s="184" t="s">
        <v>13</v>
      </c>
    </row>
    <row r="4" spans="2:27" ht="18" customHeight="1" thickTop="1" thickBot="1" x14ac:dyDescent="0.35">
      <c r="B4" s="32" t="s">
        <v>2</v>
      </c>
      <c r="C4" s="3">
        <v>5500</v>
      </c>
      <c r="D4" s="39"/>
      <c r="E4" s="6">
        <v>2</v>
      </c>
      <c r="F4" s="16">
        <v>2</v>
      </c>
      <c r="G4" s="16">
        <v>2</v>
      </c>
      <c r="H4" s="38"/>
      <c r="I4" s="38"/>
      <c r="J4" s="38"/>
      <c r="K4" s="39"/>
      <c r="L4" s="50">
        <v>1</v>
      </c>
      <c r="M4" s="6">
        <v>2</v>
      </c>
      <c r="N4" s="38"/>
      <c r="O4" s="38"/>
      <c r="P4" s="18"/>
      <c r="Q4" s="50">
        <v>1</v>
      </c>
      <c r="R4" s="38"/>
      <c r="S4" s="50">
        <v>1</v>
      </c>
      <c r="T4" s="50">
        <v>1</v>
      </c>
      <c r="U4" s="50">
        <v>2</v>
      </c>
      <c r="V4" s="6">
        <v>1</v>
      </c>
      <c r="W4" s="6">
        <v>1</v>
      </c>
      <c r="X4" s="187"/>
      <c r="Y4" s="185"/>
    </row>
    <row r="5" spans="2:27" ht="18" customHeight="1" x14ac:dyDescent="0.3">
      <c r="B5" s="32" t="s">
        <v>3</v>
      </c>
      <c r="C5" s="2">
        <v>5500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1"/>
      <c r="Q5" s="40"/>
      <c r="R5" s="40"/>
      <c r="S5" s="40"/>
      <c r="T5" s="40"/>
      <c r="U5" s="40"/>
      <c r="V5" s="40"/>
      <c r="W5" s="40"/>
      <c r="X5" s="188"/>
      <c r="Y5" s="184" t="s">
        <v>14</v>
      </c>
    </row>
    <row r="6" spans="2:27" ht="18" customHeight="1" thickBot="1" x14ac:dyDescent="0.35">
      <c r="B6" s="32" t="s">
        <v>4</v>
      </c>
      <c r="C6" s="3">
        <v>4400</v>
      </c>
      <c r="D6" s="19">
        <v>1</v>
      </c>
      <c r="E6" s="42"/>
      <c r="F6" s="17">
        <v>2</v>
      </c>
      <c r="G6" s="42"/>
      <c r="H6" s="42"/>
      <c r="I6" s="42"/>
      <c r="J6" s="42"/>
      <c r="K6" s="19">
        <v>1</v>
      </c>
      <c r="L6" s="42"/>
      <c r="M6" s="42"/>
      <c r="N6" s="19">
        <v>1</v>
      </c>
      <c r="O6" s="19">
        <v>1</v>
      </c>
      <c r="P6" s="43"/>
      <c r="Q6" s="42"/>
      <c r="R6" s="42"/>
      <c r="S6" s="42"/>
      <c r="T6" s="19">
        <v>1</v>
      </c>
      <c r="U6" s="19">
        <v>2</v>
      </c>
      <c r="V6" s="42"/>
      <c r="W6" s="42"/>
      <c r="X6" s="189"/>
      <c r="Y6" s="185"/>
    </row>
    <row r="7" spans="2:27" ht="18" customHeight="1" x14ac:dyDescent="0.3">
      <c r="B7" s="33" t="s">
        <v>5</v>
      </c>
      <c r="C7" s="3">
        <v>4400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3"/>
      <c r="Q7" s="42"/>
      <c r="R7" s="19">
        <v>1</v>
      </c>
      <c r="S7" s="42"/>
      <c r="T7" s="42"/>
      <c r="U7" s="42"/>
      <c r="V7" s="42"/>
      <c r="W7" s="42"/>
      <c r="X7" s="190"/>
      <c r="Y7" s="184" t="s">
        <v>15</v>
      </c>
    </row>
    <row r="8" spans="2:27" ht="18" customHeight="1" thickBot="1" x14ac:dyDescent="0.35">
      <c r="B8" s="33" t="s">
        <v>6</v>
      </c>
      <c r="C8" s="2">
        <v>5500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1"/>
      <c r="Q8" s="40"/>
      <c r="R8" s="40"/>
      <c r="S8" s="40"/>
      <c r="T8" s="40"/>
      <c r="U8" s="40"/>
      <c r="V8" s="40"/>
      <c r="W8" s="40"/>
      <c r="X8" s="191"/>
      <c r="Y8" s="185"/>
    </row>
    <row r="9" spans="2:27" ht="18" customHeight="1" x14ac:dyDescent="0.3">
      <c r="B9" s="33" t="s">
        <v>7</v>
      </c>
      <c r="C9" s="3">
        <v>6600</v>
      </c>
      <c r="D9" s="42"/>
      <c r="E9" s="42"/>
      <c r="F9" s="17">
        <v>1</v>
      </c>
      <c r="G9" s="42"/>
      <c r="H9" s="7">
        <v>1</v>
      </c>
      <c r="I9" s="42"/>
      <c r="J9" s="42"/>
      <c r="K9" s="42"/>
      <c r="L9" s="42"/>
      <c r="M9" s="42"/>
      <c r="N9" s="42"/>
      <c r="O9" s="42"/>
      <c r="P9" s="15">
        <v>1</v>
      </c>
      <c r="Q9" s="42"/>
      <c r="R9" s="42"/>
      <c r="S9" s="42"/>
      <c r="T9" s="42"/>
      <c r="U9" s="42"/>
      <c r="V9" s="42"/>
      <c r="W9" s="7">
        <v>1</v>
      </c>
      <c r="X9" s="182"/>
      <c r="Y9" s="184" t="s">
        <v>16</v>
      </c>
    </row>
    <row r="10" spans="2:27" ht="18" customHeight="1" thickBot="1" x14ac:dyDescent="0.35">
      <c r="B10" s="33" t="s">
        <v>8</v>
      </c>
      <c r="C10" s="2">
        <v>6600</v>
      </c>
      <c r="D10" s="40"/>
      <c r="E10" s="40"/>
      <c r="F10" s="40"/>
      <c r="G10" s="40"/>
      <c r="H10" s="40"/>
      <c r="I10" s="19">
        <v>1</v>
      </c>
      <c r="J10" s="19">
        <v>1</v>
      </c>
      <c r="K10" s="40"/>
      <c r="L10" s="40"/>
      <c r="M10" s="40"/>
      <c r="N10" s="40"/>
      <c r="O10" s="40"/>
      <c r="P10" s="41"/>
      <c r="Q10" s="40"/>
      <c r="R10" s="40"/>
      <c r="S10" s="40"/>
      <c r="T10" s="40"/>
      <c r="U10" s="40"/>
      <c r="V10" s="40"/>
      <c r="W10" s="7">
        <v>1</v>
      </c>
      <c r="X10" s="183"/>
      <c r="Y10" s="185"/>
    </row>
    <row r="11" spans="2:27" ht="18" customHeight="1" x14ac:dyDescent="0.3">
      <c r="B11" s="34" t="s">
        <v>9</v>
      </c>
      <c r="C11" s="3">
        <v>7700</v>
      </c>
      <c r="D11" s="19">
        <v>1</v>
      </c>
      <c r="E11" s="42"/>
      <c r="F11" s="42"/>
      <c r="G11" s="42"/>
      <c r="H11" s="42"/>
      <c r="I11" s="42"/>
      <c r="J11" s="42"/>
      <c r="K11" s="42"/>
      <c r="L11" s="42"/>
      <c r="M11" s="42"/>
      <c r="N11" s="19">
        <v>1</v>
      </c>
      <c r="O11" s="42"/>
      <c r="P11" s="43"/>
      <c r="Q11" s="42"/>
      <c r="R11" s="42"/>
      <c r="S11" s="42"/>
      <c r="T11" s="42"/>
      <c r="U11" s="42"/>
      <c r="V11" s="42"/>
      <c r="W11" s="42"/>
      <c r="X11" s="165" t="s">
        <v>17</v>
      </c>
      <c r="Y11" s="166"/>
      <c r="Z11" s="166"/>
      <c r="AA11" s="167"/>
    </row>
    <row r="12" spans="2:27" ht="18" customHeight="1" thickBot="1" x14ac:dyDescent="0.35">
      <c r="B12" s="34" t="s">
        <v>10</v>
      </c>
      <c r="C12" s="2">
        <v>7700</v>
      </c>
      <c r="D12" s="44"/>
      <c r="E12" s="44"/>
      <c r="F12" s="44"/>
      <c r="G12" s="44"/>
      <c r="H12" s="45"/>
      <c r="I12" s="44"/>
      <c r="J12" s="45"/>
      <c r="K12" s="44"/>
      <c r="L12" s="44"/>
      <c r="M12" s="44"/>
      <c r="N12" s="44"/>
      <c r="O12" s="45"/>
      <c r="P12" s="46"/>
      <c r="Q12" s="44"/>
      <c r="R12" s="44"/>
      <c r="S12" s="44"/>
      <c r="T12" s="44"/>
      <c r="U12" s="45"/>
      <c r="V12" s="44"/>
      <c r="W12" s="45"/>
      <c r="X12" s="168"/>
      <c r="Y12" s="169"/>
      <c r="Z12" s="169"/>
      <c r="AA12" s="170"/>
    </row>
    <row r="13" spans="2:27" ht="17.25" customHeight="1" x14ac:dyDescent="0.3">
      <c r="B13" s="25"/>
      <c r="C13" s="1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X13" s="168"/>
      <c r="Y13" s="169"/>
      <c r="Z13" s="169"/>
      <c r="AA13" s="170"/>
    </row>
    <row r="14" spans="2:27" ht="17.25" customHeight="1" x14ac:dyDescent="0.3">
      <c r="B14" s="29" t="s">
        <v>0</v>
      </c>
      <c r="C14" s="30" t="s">
        <v>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168"/>
      <c r="Y14" s="169"/>
      <c r="Z14" s="169"/>
      <c r="AA14" s="170"/>
    </row>
    <row r="15" spans="2:27" x14ac:dyDescent="0.3">
      <c r="B15" s="32" t="s">
        <v>2</v>
      </c>
      <c r="C15" s="3">
        <v>5500</v>
      </c>
      <c r="D15" s="23"/>
      <c r="E15" s="23"/>
      <c r="F15" s="23"/>
      <c r="G15" s="23"/>
      <c r="H15" s="23"/>
      <c r="I15" s="23"/>
      <c r="J15" s="23"/>
      <c r="K15" s="31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31"/>
      <c r="X15" s="168"/>
      <c r="Y15" s="169"/>
      <c r="Z15" s="169"/>
      <c r="AA15" s="170"/>
    </row>
    <row r="16" spans="2:27" ht="17.25" thickBot="1" x14ac:dyDescent="0.35">
      <c r="B16" s="32" t="s">
        <v>3</v>
      </c>
      <c r="C16" s="2">
        <v>5500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171"/>
      <c r="Y16" s="172"/>
      <c r="Z16" s="172"/>
      <c r="AA16" s="173"/>
    </row>
    <row r="17" spans="2:27" ht="17.25" thickBot="1" x14ac:dyDescent="0.35">
      <c r="B17" s="32" t="s">
        <v>4</v>
      </c>
      <c r="C17" s="3">
        <v>4400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10"/>
      <c r="Y17" s="11" t="s">
        <v>18</v>
      </c>
      <c r="Z17" s="11"/>
      <c r="AA17" s="11"/>
    </row>
    <row r="18" spans="2:27" x14ac:dyDescent="0.3">
      <c r="B18" s="33" t="s">
        <v>5</v>
      </c>
      <c r="C18" s="3">
        <v>4400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2:27" x14ac:dyDescent="0.3">
      <c r="B19" s="33" t="s">
        <v>6</v>
      </c>
      <c r="C19" s="2">
        <v>5500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2:27" x14ac:dyDescent="0.3">
      <c r="B20" s="33" t="s">
        <v>7</v>
      </c>
      <c r="C20" s="3">
        <v>6600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spans="2:27" x14ac:dyDescent="0.3">
      <c r="B21" s="33" t="s">
        <v>8</v>
      </c>
      <c r="C21" s="2">
        <v>6600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2:27" x14ac:dyDescent="0.3">
      <c r="B22" s="34" t="s">
        <v>9</v>
      </c>
      <c r="C22" s="3">
        <v>7700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 spans="2:27" x14ac:dyDescent="0.3">
      <c r="B23" s="34" t="s">
        <v>10</v>
      </c>
      <c r="C23" s="2">
        <v>7700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2:27" x14ac:dyDescent="0.3">
      <c r="I24" s="55"/>
    </row>
    <row r="25" spans="2:27" x14ac:dyDescent="0.3">
      <c r="B25" s="29" t="s">
        <v>0</v>
      </c>
      <c r="C25" s="30" t="s">
        <v>1</v>
      </c>
      <c r="D25" s="31" t="s">
        <v>11</v>
      </c>
    </row>
    <row r="26" spans="2:27" x14ac:dyDescent="0.3">
      <c r="B26" s="32" t="s">
        <v>2</v>
      </c>
      <c r="C26" s="3">
        <v>5500</v>
      </c>
      <c r="D26" s="23">
        <f t="shared" ref="D26:D34" si="0">SUM(D4:Y4,D15:Y15)</f>
        <v>16</v>
      </c>
    </row>
    <row r="27" spans="2:27" x14ac:dyDescent="0.3">
      <c r="B27" s="32" t="s">
        <v>3</v>
      </c>
      <c r="C27" s="2">
        <v>5500</v>
      </c>
      <c r="D27" s="23">
        <f t="shared" si="0"/>
        <v>0</v>
      </c>
    </row>
    <row r="28" spans="2:27" x14ac:dyDescent="0.3">
      <c r="B28" s="32" t="s">
        <v>4</v>
      </c>
      <c r="C28" s="3">
        <v>4400</v>
      </c>
      <c r="D28" s="23">
        <f t="shared" si="0"/>
        <v>9</v>
      </c>
    </row>
    <row r="29" spans="2:27" x14ac:dyDescent="0.3">
      <c r="B29" s="33" t="s">
        <v>5</v>
      </c>
      <c r="C29" s="3">
        <v>4400</v>
      </c>
      <c r="D29" s="23">
        <f t="shared" si="0"/>
        <v>1</v>
      </c>
    </row>
    <row r="30" spans="2:27" x14ac:dyDescent="0.3">
      <c r="B30" s="33" t="s">
        <v>6</v>
      </c>
      <c r="C30" s="2">
        <v>5500</v>
      </c>
      <c r="D30" s="23">
        <f t="shared" si="0"/>
        <v>0</v>
      </c>
    </row>
    <row r="31" spans="2:27" x14ac:dyDescent="0.3">
      <c r="B31" s="33" t="s">
        <v>7</v>
      </c>
      <c r="C31" s="3">
        <v>6600</v>
      </c>
      <c r="D31" s="23">
        <f t="shared" si="0"/>
        <v>4</v>
      </c>
    </row>
    <row r="32" spans="2:27" x14ac:dyDescent="0.3">
      <c r="B32" s="33" t="s">
        <v>8</v>
      </c>
      <c r="C32" s="2">
        <v>6600</v>
      </c>
      <c r="D32" s="23">
        <f t="shared" si="0"/>
        <v>3</v>
      </c>
    </row>
    <row r="33" spans="2:4" x14ac:dyDescent="0.3">
      <c r="B33" s="34" t="s">
        <v>9</v>
      </c>
      <c r="C33" s="3">
        <v>7700</v>
      </c>
      <c r="D33" s="23">
        <f t="shared" si="0"/>
        <v>2</v>
      </c>
    </row>
    <row r="34" spans="2:4" x14ac:dyDescent="0.3">
      <c r="B34" s="34" t="s">
        <v>10</v>
      </c>
      <c r="C34" s="2">
        <v>7700</v>
      </c>
      <c r="D34" s="23">
        <f t="shared" si="0"/>
        <v>0</v>
      </c>
    </row>
  </sheetData>
  <mergeCells count="9">
    <mergeCell ref="X9:X10"/>
    <mergeCell ref="Y9:Y10"/>
    <mergeCell ref="X11:AA16"/>
    <mergeCell ref="X3:X4"/>
    <mergeCell ref="Y3:Y4"/>
    <mergeCell ref="X5:X6"/>
    <mergeCell ref="Y5:Y6"/>
    <mergeCell ref="X7:X8"/>
    <mergeCell ref="Y7:Y8"/>
  </mergeCells>
  <phoneticPr fontId="4" type="noConversion"/>
  <pageMargins left="0.25" right="0.25" top="0.75" bottom="0.75" header="0.3" footer="0.3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S34"/>
  <sheetViews>
    <sheetView workbookViewId="0">
      <selection activeCell="Y3" sqref="Y3:AB17"/>
    </sheetView>
  </sheetViews>
  <sheetFormatPr defaultRowHeight="16.5" x14ac:dyDescent="0.3"/>
  <cols>
    <col min="2" max="2" width="15.375" customWidth="1"/>
    <col min="3" max="3" width="8.75" customWidth="1"/>
    <col min="4" max="15" width="5.625" customWidth="1"/>
  </cols>
  <sheetData>
    <row r="1" spans="2:19" ht="20.25" customHeight="1" x14ac:dyDescent="0.3"/>
    <row r="2" spans="2:19" ht="20.25" customHeight="1" thickBot="1" x14ac:dyDescent="0.35"/>
    <row r="3" spans="2:19" ht="20.25" customHeight="1" thickTop="1" thickBot="1" x14ac:dyDescent="0.35">
      <c r="B3" s="29" t="s">
        <v>0</v>
      </c>
      <c r="C3" s="30" t="s">
        <v>1</v>
      </c>
      <c r="D3" s="35">
        <v>1725</v>
      </c>
      <c r="E3" s="35">
        <v>1619</v>
      </c>
      <c r="F3" s="35">
        <v>1519</v>
      </c>
      <c r="G3" s="35">
        <v>828</v>
      </c>
      <c r="H3" s="36">
        <v>1502</v>
      </c>
      <c r="I3" s="37">
        <v>1521</v>
      </c>
      <c r="J3" s="35">
        <v>1529</v>
      </c>
      <c r="K3" s="35">
        <v>1627</v>
      </c>
      <c r="L3" s="35">
        <v>505</v>
      </c>
      <c r="M3" s="37">
        <v>1102</v>
      </c>
      <c r="N3" s="35">
        <v>1803</v>
      </c>
      <c r="O3" s="37">
        <v>1125</v>
      </c>
      <c r="P3" s="186"/>
      <c r="Q3" s="184" t="s">
        <v>13</v>
      </c>
    </row>
    <row r="4" spans="2:19" ht="18" customHeight="1" thickTop="1" thickBot="1" x14ac:dyDescent="0.35">
      <c r="B4" s="32" t="s">
        <v>2</v>
      </c>
      <c r="C4" s="3">
        <v>5500</v>
      </c>
      <c r="D4" s="39"/>
      <c r="E4" s="6">
        <v>2</v>
      </c>
      <c r="F4" s="6">
        <v>2</v>
      </c>
      <c r="G4" s="50">
        <v>2</v>
      </c>
      <c r="H4" s="38"/>
      <c r="I4" s="38"/>
      <c r="J4" s="50">
        <v>2</v>
      </c>
      <c r="K4" s="6">
        <v>1</v>
      </c>
      <c r="L4" s="38"/>
      <c r="M4" s="6">
        <v>1</v>
      </c>
      <c r="N4" s="38"/>
      <c r="O4" s="38"/>
      <c r="P4" s="187"/>
      <c r="Q4" s="185"/>
    </row>
    <row r="5" spans="2:19" ht="18" customHeight="1" x14ac:dyDescent="0.3">
      <c r="B5" s="32" t="s">
        <v>3</v>
      </c>
      <c r="C5" s="2">
        <v>5500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188"/>
      <c r="Q5" s="184" t="s">
        <v>14</v>
      </c>
    </row>
    <row r="6" spans="2:19" ht="18" customHeight="1" thickBot="1" x14ac:dyDescent="0.35">
      <c r="B6" s="32" t="s">
        <v>4</v>
      </c>
      <c r="C6" s="3">
        <v>4400</v>
      </c>
      <c r="D6" s="42"/>
      <c r="E6" s="42"/>
      <c r="F6" s="42"/>
      <c r="G6" s="42"/>
      <c r="H6" s="42"/>
      <c r="I6" s="42"/>
      <c r="J6" s="7">
        <v>1</v>
      </c>
      <c r="K6" s="42"/>
      <c r="L6" s="42"/>
      <c r="M6" s="7">
        <v>2</v>
      </c>
      <c r="N6" s="42"/>
      <c r="O6" s="42"/>
      <c r="P6" s="189"/>
      <c r="Q6" s="185"/>
    </row>
    <row r="7" spans="2:19" ht="18" customHeight="1" x14ac:dyDescent="0.3">
      <c r="B7" s="33" t="s">
        <v>5</v>
      </c>
      <c r="C7" s="3">
        <v>4400</v>
      </c>
      <c r="D7" s="42"/>
      <c r="E7" s="42"/>
      <c r="F7" s="42"/>
      <c r="G7" s="42"/>
      <c r="H7" s="7">
        <v>1</v>
      </c>
      <c r="I7" s="42"/>
      <c r="J7" s="42"/>
      <c r="K7" s="42"/>
      <c r="L7" s="19">
        <v>1</v>
      </c>
      <c r="M7" s="42"/>
      <c r="N7" s="42"/>
      <c r="O7" s="42"/>
      <c r="P7" s="190"/>
      <c r="Q7" s="184" t="s">
        <v>15</v>
      </c>
    </row>
    <row r="8" spans="2:19" ht="18" customHeight="1" thickBot="1" x14ac:dyDescent="0.35">
      <c r="B8" s="33" t="s">
        <v>6</v>
      </c>
      <c r="C8" s="2">
        <v>5500</v>
      </c>
      <c r="D8" s="40"/>
      <c r="E8" s="40"/>
      <c r="F8" s="40"/>
      <c r="G8" s="40"/>
      <c r="H8" s="7">
        <v>1</v>
      </c>
      <c r="I8" s="40"/>
      <c r="J8" s="19">
        <v>1</v>
      </c>
      <c r="K8" s="40"/>
      <c r="L8" s="7">
        <v>1</v>
      </c>
      <c r="M8" s="40"/>
      <c r="N8" s="40"/>
      <c r="O8" s="40"/>
      <c r="P8" s="191"/>
      <c r="Q8" s="185"/>
    </row>
    <row r="9" spans="2:19" ht="18" customHeight="1" x14ac:dyDescent="0.3">
      <c r="B9" s="33" t="s">
        <v>7</v>
      </c>
      <c r="C9" s="3">
        <v>6600</v>
      </c>
      <c r="D9" s="42"/>
      <c r="E9" s="7">
        <v>1</v>
      </c>
      <c r="F9" s="42"/>
      <c r="G9" s="42"/>
      <c r="H9" s="7">
        <v>1</v>
      </c>
      <c r="I9" s="42"/>
      <c r="J9" s="42"/>
      <c r="K9" s="42"/>
      <c r="L9" s="42"/>
      <c r="M9" s="42"/>
      <c r="N9" s="42"/>
      <c r="O9" s="42"/>
      <c r="P9" s="182"/>
      <c r="Q9" s="184" t="s">
        <v>16</v>
      </c>
    </row>
    <row r="10" spans="2:19" ht="18" customHeight="1" thickBot="1" x14ac:dyDescent="0.35">
      <c r="B10" s="33" t="s">
        <v>8</v>
      </c>
      <c r="C10" s="2">
        <v>6600</v>
      </c>
      <c r="D10" s="40"/>
      <c r="E10" s="40"/>
      <c r="F10" s="40"/>
      <c r="G10" s="40"/>
      <c r="H10" s="7">
        <v>1</v>
      </c>
      <c r="I10" s="49">
        <v>1</v>
      </c>
      <c r="J10" s="40"/>
      <c r="K10" s="40"/>
      <c r="L10" s="40"/>
      <c r="M10" s="40"/>
      <c r="N10" s="40"/>
      <c r="O10" s="40"/>
      <c r="P10" s="183"/>
      <c r="Q10" s="185"/>
    </row>
    <row r="11" spans="2:19" ht="18" customHeight="1" x14ac:dyDescent="0.3">
      <c r="B11" s="34" t="s">
        <v>9</v>
      </c>
      <c r="C11" s="3">
        <v>7700</v>
      </c>
      <c r="D11" s="7">
        <v>1</v>
      </c>
      <c r="E11" s="42"/>
      <c r="F11" s="42"/>
      <c r="G11" s="42"/>
      <c r="H11" s="42"/>
      <c r="I11" s="42"/>
      <c r="J11" s="42"/>
      <c r="K11" s="42"/>
      <c r="L11" s="42"/>
      <c r="M11" s="7">
        <v>1</v>
      </c>
      <c r="N11" s="19">
        <v>1</v>
      </c>
      <c r="O11" s="19">
        <v>1</v>
      </c>
      <c r="P11" s="165" t="s">
        <v>17</v>
      </c>
      <c r="Q11" s="166"/>
      <c r="R11" s="166"/>
      <c r="S11" s="167"/>
    </row>
    <row r="12" spans="2:19" ht="18" customHeight="1" thickBot="1" x14ac:dyDescent="0.35">
      <c r="B12" s="34" t="s">
        <v>10</v>
      </c>
      <c r="C12" s="2">
        <v>7700</v>
      </c>
      <c r="D12" s="21">
        <v>1</v>
      </c>
      <c r="E12" s="44"/>
      <c r="F12" s="44"/>
      <c r="G12" s="44"/>
      <c r="H12" s="45"/>
      <c r="I12" s="44"/>
      <c r="J12" s="53">
        <v>1</v>
      </c>
      <c r="K12" s="44"/>
      <c r="L12" s="44"/>
      <c r="M12" s="45"/>
      <c r="N12" s="44"/>
      <c r="O12" s="53">
        <v>1</v>
      </c>
      <c r="P12" s="168"/>
      <c r="Q12" s="169"/>
      <c r="R12" s="169"/>
      <c r="S12" s="170"/>
    </row>
    <row r="13" spans="2:19" ht="17.25" customHeight="1" x14ac:dyDescent="0.3">
      <c r="B13" s="25"/>
      <c r="C13" s="1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168"/>
      <c r="Q13" s="169"/>
      <c r="R13" s="169"/>
      <c r="S13" s="170"/>
    </row>
    <row r="14" spans="2:19" ht="17.25" customHeight="1" x14ac:dyDescent="0.3">
      <c r="B14" s="29" t="s">
        <v>0</v>
      </c>
      <c r="C14" s="30" t="s">
        <v>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168"/>
      <c r="Q14" s="169"/>
      <c r="R14" s="169"/>
      <c r="S14" s="170"/>
    </row>
    <row r="15" spans="2:19" x14ac:dyDescent="0.3">
      <c r="B15" s="32" t="s">
        <v>2</v>
      </c>
      <c r="C15" s="3">
        <v>5500</v>
      </c>
      <c r="D15" s="23"/>
      <c r="E15" s="23"/>
      <c r="F15" s="23"/>
      <c r="G15" s="23"/>
      <c r="H15" s="23"/>
      <c r="I15" s="23"/>
      <c r="J15" s="23"/>
      <c r="K15" s="31"/>
      <c r="L15" s="23"/>
      <c r="M15" s="23"/>
      <c r="N15" s="23"/>
      <c r="O15" s="23"/>
      <c r="P15" s="168"/>
      <c r="Q15" s="169"/>
      <c r="R15" s="169"/>
      <c r="S15" s="170"/>
    </row>
    <row r="16" spans="2:19" ht="17.25" thickBot="1" x14ac:dyDescent="0.35">
      <c r="B16" s="32" t="s">
        <v>3</v>
      </c>
      <c r="C16" s="2">
        <v>5500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71"/>
      <c r="Q16" s="172"/>
      <c r="R16" s="172"/>
      <c r="S16" s="173"/>
    </row>
    <row r="17" spans="2:19" ht="17.25" thickBot="1" x14ac:dyDescent="0.35">
      <c r="B17" s="32" t="s">
        <v>4</v>
      </c>
      <c r="C17" s="3">
        <v>4400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10"/>
      <c r="Q17" s="11" t="s">
        <v>18</v>
      </c>
      <c r="R17" s="11"/>
      <c r="S17" s="11"/>
    </row>
    <row r="18" spans="2:19" x14ac:dyDescent="0.3">
      <c r="B18" s="33" t="s">
        <v>5</v>
      </c>
      <c r="C18" s="3">
        <v>4400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2:19" x14ac:dyDescent="0.3">
      <c r="B19" s="33" t="s">
        <v>6</v>
      </c>
      <c r="C19" s="2">
        <v>5500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2:19" x14ac:dyDescent="0.3">
      <c r="B20" s="33" t="s">
        <v>7</v>
      </c>
      <c r="C20" s="3">
        <v>6600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2:19" x14ac:dyDescent="0.3">
      <c r="B21" s="33" t="s">
        <v>8</v>
      </c>
      <c r="C21" s="2">
        <v>6600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9" x14ac:dyDescent="0.3">
      <c r="B22" s="34" t="s">
        <v>9</v>
      </c>
      <c r="C22" s="3">
        <v>7700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2:19" x14ac:dyDescent="0.3">
      <c r="B23" s="34" t="s">
        <v>10</v>
      </c>
      <c r="C23" s="2">
        <v>7700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5" spans="2:19" x14ac:dyDescent="0.3">
      <c r="B25" s="29" t="s">
        <v>0</v>
      </c>
      <c r="C25" s="30" t="s">
        <v>1</v>
      </c>
      <c r="D25" s="31" t="s">
        <v>11</v>
      </c>
    </row>
    <row r="26" spans="2:19" x14ac:dyDescent="0.3">
      <c r="B26" s="32" t="s">
        <v>2</v>
      </c>
      <c r="C26" s="3">
        <v>5500</v>
      </c>
      <c r="D26" s="23">
        <f t="shared" ref="D26:D34" si="0">SUM(D4:Z4,D15:Z15)</f>
        <v>10</v>
      </c>
    </row>
    <row r="27" spans="2:19" x14ac:dyDescent="0.3">
      <c r="B27" s="32" t="s">
        <v>3</v>
      </c>
      <c r="C27" s="2">
        <v>5500</v>
      </c>
      <c r="D27" s="23">
        <f t="shared" si="0"/>
        <v>0</v>
      </c>
    </row>
    <row r="28" spans="2:19" x14ac:dyDescent="0.3">
      <c r="B28" s="32" t="s">
        <v>4</v>
      </c>
      <c r="C28" s="3">
        <v>4400</v>
      </c>
      <c r="D28" s="23">
        <f t="shared" si="0"/>
        <v>3</v>
      </c>
    </row>
    <row r="29" spans="2:19" x14ac:dyDescent="0.3">
      <c r="B29" s="33" t="s">
        <v>5</v>
      </c>
      <c r="C29" s="3">
        <v>4400</v>
      </c>
      <c r="D29" s="23">
        <f t="shared" si="0"/>
        <v>2</v>
      </c>
    </row>
    <row r="30" spans="2:19" x14ac:dyDescent="0.3">
      <c r="B30" s="33" t="s">
        <v>6</v>
      </c>
      <c r="C30" s="2">
        <v>5500</v>
      </c>
      <c r="D30" s="23">
        <f t="shared" si="0"/>
        <v>3</v>
      </c>
    </row>
    <row r="31" spans="2:19" x14ac:dyDescent="0.3">
      <c r="B31" s="33" t="s">
        <v>7</v>
      </c>
      <c r="C31" s="3">
        <v>6600</v>
      </c>
      <c r="D31" s="23">
        <f t="shared" si="0"/>
        <v>2</v>
      </c>
    </row>
    <row r="32" spans="2:19" x14ac:dyDescent="0.3">
      <c r="B32" s="33" t="s">
        <v>8</v>
      </c>
      <c r="C32" s="2">
        <v>6600</v>
      </c>
      <c r="D32" s="23">
        <f t="shared" si="0"/>
        <v>2</v>
      </c>
    </row>
    <row r="33" spans="2:4" x14ac:dyDescent="0.3">
      <c r="B33" s="34" t="s">
        <v>9</v>
      </c>
      <c r="C33" s="3">
        <v>7700</v>
      </c>
      <c r="D33" s="23">
        <f t="shared" si="0"/>
        <v>4</v>
      </c>
    </row>
    <row r="34" spans="2:4" x14ac:dyDescent="0.3">
      <c r="B34" s="34" t="s">
        <v>10</v>
      </c>
      <c r="C34" s="2">
        <v>7700</v>
      </c>
      <c r="D34" s="23">
        <f t="shared" si="0"/>
        <v>3</v>
      </c>
    </row>
  </sheetData>
  <mergeCells count="9">
    <mergeCell ref="P9:P10"/>
    <mergeCell ref="Q9:Q10"/>
    <mergeCell ref="P11:S16"/>
    <mergeCell ref="P3:P4"/>
    <mergeCell ref="Q3:Q4"/>
    <mergeCell ref="P5:P6"/>
    <mergeCell ref="Q5:Q6"/>
    <mergeCell ref="P7:P8"/>
    <mergeCell ref="Q7:Q8"/>
  </mergeCells>
  <phoneticPr fontId="4" type="noConversion"/>
  <pageMargins left="0.25" right="0.25" top="0.75" bottom="0.75" header="0.3" footer="0.3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AH34"/>
  <sheetViews>
    <sheetView workbookViewId="0">
      <selection activeCell="Y3" sqref="Y3:AB17"/>
    </sheetView>
  </sheetViews>
  <sheetFormatPr defaultRowHeight="16.5" x14ac:dyDescent="0.3"/>
  <cols>
    <col min="2" max="2" width="15.375" customWidth="1"/>
    <col min="3" max="3" width="8.75" customWidth="1"/>
    <col min="4" max="33" width="5.625" customWidth="1"/>
    <col min="34" max="34" width="9" bestFit="1" customWidth="1"/>
  </cols>
  <sheetData>
    <row r="1" spans="2:34" ht="20.25" customHeight="1" x14ac:dyDescent="0.3"/>
    <row r="2" spans="2:34" ht="20.25" customHeight="1" thickBot="1" x14ac:dyDescent="0.35"/>
    <row r="3" spans="2:34" ht="20.25" customHeight="1" thickTop="1" thickBot="1" x14ac:dyDescent="0.35">
      <c r="B3" s="29" t="s">
        <v>0</v>
      </c>
      <c r="C3" s="30" t="s">
        <v>1</v>
      </c>
      <c r="D3" s="35">
        <v>702</v>
      </c>
      <c r="E3" s="35">
        <v>924</v>
      </c>
      <c r="F3" s="35">
        <v>1414</v>
      </c>
      <c r="G3" s="35">
        <v>925</v>
      </c>
      <c r="H3" s="36">
        <v>1003</v>
      </c>
      <c r="I3" s="37">
        <v>931</v>
      </c>
      <c r="J3" s="35">
        <v>1415</v>
      </c>
      <c r="K3" s="35">
        <v>1606</v>
      </c>
      <c r="L3" s="35">
        <v>906</v>
      </c>
      <c r="M3" s="35">
        <v>1024</v>
      </c>
      <c r="N3" s="35">
        <v>1621</v>
      </c>
      <c r="O3" s="36">
        <v>820</v>
      </c>
      <c r="P3" s="37">
        <v>1401</v>
      </c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 t="s">
        <v>12</v>
      </c>
    </row>
    <row r="4" spans="2:34" ht="18" customHeight="1" thickTop="1" x14ac:dyDescent="0.3">
      <c r="B4" s="32" t="s">
        <v>2</v>
      </c>
      <c r="C4" s="3">
        <v>5500</v>
      </c>
      <c r="D4" s="39"/>
      <c r="E4" s="56">
        <v>2</v>
      </c>
      <c r="F4" s="38"/>
      <c r="G4" s="38"/>
      <c r="H4" s="38"/>
      <c r="I4" s="6">
        <v>2</v>
      </c>
      <c r="J4" s="38"/>
      <c r="K4" s="39"/>
      <c r="L4" s="8">
        <v>2</v>
      </c>
      <c r="M4" s="38"/>
      <c r="N4" s="8">
        <v>1</v>
      </c>
      <c r="O4" s="38"/>
      <c r="P4" s="18"/>
      <c r="Q4" s="23"/>
      <c r="R4" s="23"/>
      <c r="S4" s="23"/>
      <c r="T4" s="23"/>
      <c r="U4" s="23"/>
      <c r="V4" s="23"/>
      <c r="W4" s="31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</row>
    <row r="5" spans="2:34" ht="18" customHeight="1" x14ac:dyDescent="0.3">
      <c r="B5" s="32" t="s">
        <v>3</v>
      </c>
      <c r="C5" s="2">
        <v>5500</v>
      </c>
      <c r="D5" s="40"/>
      <c r="E5" s="57">
        <v>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1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spans="2:34" ht="18" customHeight="1" x14ac:dyDescent="0.3">
      <c r="B6" s="32" t="s">
        <v>4</v>
      </c>
      <c r="C6" s="3">
        <v>4400</v>
      </c>
      <c r="D6" s="42"/>
      <c r="E6" s="57">
        <v>2</v>
      </c>
      <c r="F6" s="42"/>
      <c r="G6" s="42"/>
      <c r="H6" s="42"/>
      <c r="I6" s="42"/>
      <c r="J6" s="42"/>
      <c r="K6" s="42"/>
      <c r="L6" s="7">
        <v>1</v>
      </c>
      <c r="M6" s="42"/>
      <c r="N6" s="5">
        <v>1</v>
      </c>
      <c r="O6" s="42"/>
      <c r="P6" s="4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r="7" spans="2:34" ht="18" customHeight="1" x14ac:dyDescent="0.3">
      <c r="B7" s="33" t="s">
        <v>5</v>
      </c>
      <c r="C7" s="3">
        <v>4400</v>
      </c>
      <c r="D7" s="42"/>
      <c r="E7" s="42"/>
      <c r="F7" s="42"/>
      <c r="G7" s="42"/>
      <c r="H7" s="7">
        <v>1</v>
      </c>
      <c r="I7" s="42"/>
      <c r="J7" s="7">
        <v>1</v>
      </c>
      <c r="K7" s="49">
        <v>1</v>
      </c>
      <c r="L7" s="42"/>
      <c r="M7" s="42"/>
      <c r="N7" s="42"/>
      <c r="O7" s="42"/>
      <c r="P7" s="9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</row>
    <row r="8" spans="2:34" ht="18" customHeight="1" x14ac:dyDescent="0.3">
      <c r="B8" s="33" t="s">
        <v>6</v>
      </c>
      <c r="C8" s="2">
        <v>5500</v>
      </c>
      <c r="D8" s="40"/>
      <c r="E8" s="40"/>
      <c r="F8" s="40"/>
      <c r="G8" s="40"/>
      <c r="H8" s="7">
        <v>1</v>
      </c>
      <c r="I8" s="40"/>
      <c r="J8" s="7">
        <v>1</v>
      </c>
      <c r="K8" s="49">
        <v>1</v>
      </c>
      <c r="L8" s="40"/>
      <c r="M8" s="7">
        <v>1</v>
      </c>
      <c r="N8" s="40"/>
      <c r="O8" s="40"/>
      <c r="P8" s="9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</row>
    <row r="9" spans="2:34" ht="18" customHeight="1" x14ac:dyDescent="0.3">
      <c r="B9" s="33" t="s">
        <v>7</v>
      </c>
      <c r="C9" s="3">
        <v>6600</v>
      </c>
      <c r="D9" s="42"/>
      <c r="E9" s="42"/>
      <c r="F9" s="5">
        <v>1</v>
      </c>
      <c r="G9" s="5">
        <v>1</v>
      </c>
      <c r="H9" s="7">
        <v>1</v>
      </c>
      <c r="I9" s="42"/>
      <c r="J9" s="42"/>
      <c r="K9" s="49">
        <v>1</v>
      </c>
      <c r="L9" s="42"/>
      <c r="M9" s="7">
        <v>1</v>
      </c>
      <c r="N9" s="42"/>
      <c r="O9" s="42"/>
      <c r="P9" s="4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2:34" ht="18" customHeight="1" x14ac:dyDescent="0.3">
      <c r="B10" s="33" t="s">
        <v>8</v>
      </c>
      <c r="C10" s="2">
        <v>6600</v>
      </c>
      <c r="D10" s="40"/>
      <c r="E10" s="40"/>
      <c r="F10" s="40"/>
      <c r="G10" s="40"/>
      <c r="H10" s="7">
        <v>1</v>
      </c>
      <c r="I10" s="40"/>
      <c r="J10" s="40"/>
      <c r="K10" s="40"/>
      <c r="L10" s="40"/>
      <c r="M10" s="7">
        <v>1</v>
      </c>
      <c r="N10" s="40"/>
      <c r="O10" s="40"/>
      <c r="P10" s="4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</row>
    <row r="11" spans="2:34" ht="18" customHeight="1" x14ac:dyDescent="0.3">
      <c r="B11" s="34" t="s">
        <v>9</v>
      </c>
      <c r="C11" s="3">
        <v>7700</v>
      </c>
      <c r="D11" s="5">
        <v>1</v>
      </c>
      <c r="E11" s="42"/>
      <c r="F11" s="42"/>
      <c r="G11" s="42"/>
      <c r="H11" s="42"/>
      <c r="I11" s="42"/>
      <c r="J11" s="42"/>
      <c r="K11" s="49">
        <v>1</v>
      </c>
      <c r="L11" s="42"/>
      <c r="M11" s="42"/>
      <c r="N11" s="42"/>
      <c r="O11" s="5">
        <v>1</v>
      </c>
      <c r="P11" s="4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2:34" ht="18" customHeight="1" thickBot="1" x14ac:dyDescent="0.35">
      <c r="B12" s="34" t="s">
        <v>10</v>
      </c>
      <c r="C12" s="2">
        <v>7700</v>
      </c>
      <c r="D12" s="44"/>
      <c r="E12" s="44"/>
      <c r="F12" s="44"/>
      <c r="G12" s="44"/>
      <c r="H12" s="45"/>
      <c r="I12" s="44"/>
      <c r="J12" s="45"/>
      <c r="K12" s="51">
        <v>1</v>
      </c>
      <c r="L12" s="44"/>
      <c r="M12" s="44"/>
      <c r="N12" s="44"/>
      <c r="O12" s="45"/>
      <c r="P12" s="46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</row>
    <row r="13" spans="2:34" ht="17.25" customHeight="1" x14ac:dyDescent="0.3">
      <c r="B13" s="25"/>
      <c r="C13" s="1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2:34" ht="17.25" customHeight="1" x14ac:dyDescent="0.3">
      <c r="B14" s="29" t="s">
        <v>0</v>
      </c>
      <c r="C14" s="30" t="s">
        <v>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 t="s">
        <v>12</v>
      </c>
    </row>
    <row r="15" spans="2:34" x14ac:dyDescent="0.3">
      <c r="B15" s="32" t="s">
        <v>2</v>
      </c>
      <c r="C15" s="3">
        <v>5500</v>
      </c>
      <c r="D15" s="23"/>
      <c r="E15" s="23"/>
      <c r="F15" s="23"/>
      <c r="G15" s="23"/>
      <c r="H15" s="23"/>
      <c r="I15" s="23"/>
      <c r="J15" s="23"/>
      <c r="K15" s="31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31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spans="2:34" x14ac:dyDescent="0.3">
      <c r="B16" s="32" t="s">
        <v>3</v>
      </c>
      <c r="C16" s="2">
        <v>5500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</row>
    <row r="17" spans="2:34" x14ac:dyDescent="0.3">
      <c r="B17" s="32" t="s">
        <v>4</v>
      </c>
      <c r="C17" s="3">
        <v>4400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spans="2:34" x14ac:dyDescent="0.3">
      <c r="B18" s="33" t="s">
        <v>5</v>
      </c>
      <c r="C18" s="3">
        <v>4400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spans="2:34" x14ac:dyDescent="0.3">
      <c r="B19" s="33" t="s">
        <v>6</v>
      </c>
      <c r="C19" s="2">
        <v>5500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</row>
    <row r="20" spans="2:34" x14ac:dyDescent="0.3">
      <c r="B20" s="33" t="s">
        <v>7</v>
      </c>
      <c r="C20" s="3">
        <v>6600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spans="2:34" x14ac:dyDescent="0.3">
      <c r="B21" s="33" t="s">
        <v>8</v>
      </c>
      <c r="C21" s="2">
        <v>6600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</row>
    <row r="22" spans="2:34" x14ac:dyDescent="0.3">
      <c r="B22" s="34" t="s">
        <v>9</v>
      </c>
      <c r="C22" s="3">
        <v>7700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spans="2:34" x14ac:dyDescent="0.3">
      <c r="B23" s="34" t="s">
        <v>10</v>
      </c>
      <c r="C23" s="2">
        <v>7700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</row>
    <row r="25" spans="2:34" x14ac:dyDescent="0.3">
      <c r="B25" s="29" t="s">
        <v>0</v>
      </c>
      <c r="C25" s="30" t="s">
        <v>1</v>
      </c>
      <c r="D25" s="31" t="s">
        <v>11</v>
      </c>
    </row>
    <row r="26" spans="2:34" x14ac:dyDescent="0.3">
      <c r="B26" s="32" t="s">
        <v>2</v>
      </c>
      <c r="C26" s="3">
        <v>5500</v>
      </c>
      <c r="D26" s="23">
        <f t="shared" ref="D26:D34" si="0">SUM(D4:AH4,D15:AH15)</f>
        <v>7</v>
      </c>
    </row>
    <row r="27" spans="2:34" x14ac:dyDescent="0.3">
      <c r="B27" s="32" t="s">
        <v>3</v>
      </c>
      <c r="C27" s="2">
        <v>5500</v>
      </c>
      <c r="D27" s="23">
        <f t="shared" si="0"/>
        <v>1</v>
      </c>
    </row>
    <row r="28" spans="2:34" x14ac:dyDescent="0.3">
      <c r="B28" s="32" t="s">
        <v>4</v>
      </c>
      <c r="C28" s="3">
        <v>4400</v>
      </c>
      <c r="D28" s="23">
        <f t="shared" si="0"/>
        <v>4</v>
      </c>
    </row>
    <row r="29" spans="2:34" x14ac:dyDescent="0.3">
      <c r="B29" s="33" t="s">
        <v>5</v>
      </c>
      <c r="C29" s="3">
        <v>4400</v>
      </c>
      <c r="D29" s="23">
        <f t="shared" si="0"/>
        <v>4</v>
      </c>
    </row>
    <row r="30" spans="2:34" x14ac:dyDescent="0.3">
      <c r="B30" s="33" t="s">
        <v>6</v>
      </c>
      <c r="C30" s="2">
        <v>5500</v>
      </c>
      <c r="D30" s="23">
        <f t="shared" si="0"/>
        <v>5</v>
      </c>
    </row>
    <row r="31" spans="2:34" x14ac:dyDescent="0.3">
      <c r="B31" s="33" t="s">
        <v>7</v>
      </c>
      <c r="C31" s="3">
        <v>6600</v>
      </c>
      <c r="D31" s="23">
        <f t="shared" si="0"/>
        <v>5</v>
      </c>
    </row>
    <row r="32" spans="2:34" x14ac:dyDescent="0.3">
      <c r="B32" s="33" t="s">
        <v>8</v>
      </c>
      <c r="C32" s="2">
        <v>6600</v>
      </c>
      <c r="D32" s="23">
        <f t="shared" si="0"/>
        <v>2</v>
      </c>
    </row>
    <row r="33" spans="2:4" x14ac:dyDescent="0.3">
      <c r="B33" s="34" t="s">
        <v>9</v>
      </c>
      <c r="C33" s="3">
        <v>7700</v>
      </c>
      <c r="D33" s="23">
        <f t="shared" si="0"/>
        <v>3</v>
      </c>
    </row>
    <row r="34" spans="2:4" x14ac:dyDescent="0.3">
      <c r="B34" s="34" t="s">
        <v>10</v>
      </c>
      <c r="C34" s="2">
        <v>7700</v>
      </c>
      <c r="D34" s="23">
        <f t="shared" si="0"/>
        <v>1</v>
      </c>
    </row>
  </sheetData>
  <phoneticPr fontId="4" type="noConversion"/>
  <pageMargins left="0.25" right="0.25" top="0.75" bottom="0.75" header="0.3" footer="0.3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N34"/>
  <sheetViews>
    <sheetView workbookViewId="0">
      <selection activeCell="Y3" sqref="Y3:AB17"/>
    </sheetView>
  </sheetViews>
  <sheetFormatPr defaultRowHeight="16.5" x14ac:dyDescent="0.3"/>
  <cols>
    <col min="2" max="2" width="15.375" customWidth="1"/>
    <col min="3" max="3" width="8.75" customWidth="1"/>
    <col min="4" max="13" width="5.625" customWidth="1"/>
    <col min="14" max="14" width="9" bestFit="1" customWidth="1"/>
  </cols>
  <sheetData>
    <row r="1" spans="2:14" ht="20.25" customHeight="1" x14ac:dyDescent="0.3"/>
    <row r="2" spans="2:14" ht="20.25" customHeight="1" x14ac:dyDescent="0.3"/>
    <row r="3" spans="2:14" ht="20.25" customHeight="1" x14ac:dyDescent="0.3">
      <c r="B3" s="29" t="s">
        <v>0</v>
      </c>
      <c r="C3" s="30" t="s">
        <v>1</v>
      </c>
      <c r="D3" s="31">
        <v>802</v>
      </c>
      <c r="E3" s="31">
        <v>818</v>
      </c>
      <c r="F3" s="31">
        <v>1502</v>
      </c>
      <c r="G3" s="31">
        <v>820</v>
      </c>
      <c r="H3" s="31">
        <v>924</v>
      </c>
      <c r="I3" s="31">
        <v>1417</v>
      </c>
      <c r="J3" s="31">
        <v>726</v>
      </c>
      <c r="K3" s="31">
        <v>626</v>
      </c>
      <c r="L3" s="31">
        <v>1019</v>
      </c>
      <c r="M3" s="31"/>
      <c r="N3" s="31" t="s">
        <v>12</v>
      </c>
    </row>
    <row r="4" spans="2:14" ht="18" customHeight="1" x14ac:dyDescent="0.3">
      <c r="B4" s="32" t="s">
        <v>2</v>
      </c>
      <c r="C4" s="3">
        <v>5500</v>
      </c>
      <c r="D4" s="12">
        <v>1</v>
      </c>
      <c r="E4" s="23"/>
      <c r="F4" s="23"/>
      <c r="G4" s="58">
        <v>2</v>
      </c>
      <c r="H4" s="23"/>
      <c r="I4" s="23"/>
      <c r="J4" s="23"/>
      <c r="K4" s="31"/>
      <c r="L4" s="23"/>
      <c r="M4" s="23"/>
      <c r="N4" s="23"/>
    </row>
    <row r="5" spans="2:14" ht="18" customHeight="1" x14ac:dyDescent="0.3">
      <c r="B5" s="32" t="s">
        <v>3</v>
      </c>
      <c r="C5" s="2">
        <v>5500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2:14" ht="18" customHeight="1" x14ac:dyDescent="0.3">
      <c r="B6" s="32" t="s">
        <v>4</v>
      </c>
      <c r="C6" s="3">
        <v>4400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2:14" ht="18" customHeight="1" x14ac:dyDescent="0.3">
      <c r="B7" s="33" t="s">
        <v>5</v>
      </c>
      <c r="C7" s="3">
        <v>4400</v>
      </c>
      <c r="D7" s="23"/>
      <c r="E7" s="58">
        <v>1</v>
      </c>
      <c r="F7" s="58">
        <v>1</v>
      </c>
      <c r="G7" s="23"/>
      <c r="H7" s="59">
        <v>1</v>
      </c>
      <c r="I7" s="23"/>
      <c r="J7" s="23"/>
      <c r="K7" s="23"/>
      <c r="L7" s="23"/>
      <c r="M7" s="23"/>
      <c r="N7" s="23"/>
    </row>
    <row r="8" spans="2:14" ht="18" customHeight="1" x14ac:dyDescent="0.3">
      <c r="B8" s="33" t="s">
        <v>6</v>
      </c>
      <c r="C8" s="2">
        <v>5500</v>
      </c>
      <c r="D8" s="22"/>
      <c r="E8" s="22"/>
      <c r="F8" s="22"/>
      <c r="G8" s="22"/>
      <c r="H8" s="22"/>
      <c r="I8" s="4">
        <v>1</v>
      </c>
      <c r="J8" s="22"/>
      <c r="K8" s="22"/>
      <c r="L8" s="4">
        <v>1</v>
      </c>
      <c r="M8" s="22"/>
      <c r="N8" s="22"/>
    </row>
    <row r="9" spans="2:14" ht="18" customHeight="1" x14ac:dyDescent="0.3">
      <c r="B9" s="33" t="s">
        <v>7</v>
      </c>
      <c r="C9" s="3">
        <v>6600</v>
      </c>
      <c r="D9" s="23"/>
      <c r="E9" s="58">
        <v>1</v>
      </c>
      <c r="F9" s="23"/>
      <c r="G9" s="23"/>
      <c r="H9" s="23"/>
      <c r="I9" s="23"/>
      <c r="J9" s="58">
        <v>1</v>
      </c>
      <c r="K9" s="23"/>
      <c r="L9" s="23"/>
      <c r="M9" s="23"/>
      <c r="N9" s="23"/>
    </row>
    <row r="10" spans="2:14" ht="18" customHeight="1" x14ac:dyDescent="0.3">
      <c r="B10" s="33" t="s">
        <v>8</v>
      </c>
      <c r="C10" s="2">
        <v>6600</v>
      </c>
      <c r="D10" s="22"/>
      <c r="E10" s="22"/>
      <c r="F10" s="22"/>
      <c r="G10" s="22"/>
      <c r="H10" s="59">
        <v>1</v>
      </c>
      <c r="I10" s="22"/>
      <c r="J10" s="22"/>
      <c r="K10" s="22"/>
      <c r="L10" s="22"/>
      <c r="M10" s="22"/>
      <c r="N10" s="22"/>
    </row>
    <row r="11" spans="2:14" ht="18" customHeight="1" x14ac:dyDescent="0.3">
      <c r="B11" s="34" t="s">
        <v>9</v>
      </c>
      <c r="C11" s="3">
        <v>7700</v>
      </c>
      <c r="D11" s="23"/>
      <c r="E11" s="58">
        <v>1</v>
      </c>
      <c r="F11" s="23"/>
      <c r="G11" s="23"/>
      <c r="H11" s="23"/>
      <c r="I11" s="23"/>
      <c r="J11" s="23"/>
      <c r="K11" s="4">
        <v>1</v>
      </c>
      <c r="L11" s="23"/>
      <c r="M11" s="23"/>
      <c r="N11" s="23"/>
    </row>
    <row r="12" spans="2:14" ht="18" customHeight="1" x14ac:dyDescent="0.3">
      <c r="B12" s="34" t="s">
        <v>10</v>
      </c>
      <c r="C12" s="2">
        <v>7700</v>
      </c>
      <c r="D12" s="22"/>
      <c r="E12" s="22"/>
      <c r="F12" s="22"/>
      <c r="G12" s="22"/>
      <c r="H12" s="22"/>
      <c r="I12" s="22"/>
      <c r="J12" s="22"/>
      <c r="K12" s="58">
        <v>1</v>
      </c>
      <c r="L12" s="22"/>
      <c r="M12" s="22"/>
      <c r="N12" s="22"/>
    </row>
    <row r="13" spans="2:14" ht="17.25" customHeight="1" x14ac:dyDescent="0.3">
      <c r="B13" s="25"/>
      <c r="C13" s="1"/>
      <c r="D13" s="24"/>
      <c r="E13" s="24"/>
      <c r="F13" s="24"/>
      <c r="G13" s="24"/>
      <c r="H13" s="24"/>
      <c r="I13" s="24"/>
      <c r="J13" s="24"/>
      <c r="K13" s="24"/>
      <c r="L13" s="24"/>
    </row>
    <row r="14" spans="2:14" ht="17.25" customHeight="1" x14ac:dyDescent="0.3">
      <c r="B14" s="29" t="s">
        <v>0</v>
      </c>
      <c r="C14" s="30" t="s">
        <v>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 t="s">
        <v>12</v>
      </c>
    </row>
    <row r="15" spans="2:14" x14ac:dyDescent="0.3">
      <c r="B15" s="32" t="s">
        <v>2</v>
      </c>
      <c r="C15" s="3">
        <v>5500</v>
      </c>
      <c r="D15" s="23"/>
      <c r="E15" s="23"/>
      <c r="F15" s="23"/>
      <c r="G15" s="23"/>
      <c r="H15" s="23"/>
      <c r="I15" s="23"/>
      <c r="J15" s="23"/>
      <c r="K15" s="31"/>
      <c r="L15" s="23"/>
      <c r="M15" s="23"/>
      <c r="N15" s="23"/>
    </row>
    <row r="16" spans="2:14" x14ac:dyDescent="0.3">
      <c r="B16" s="32" t="s">
        <v>3</v>
      </c>
      <c r="C16" s="2">
        <v>5500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2:14" x14ac:dyDescent="0.3">
      <c r="B17" s="32" t="s">
        <v>4</v>
      </c>
      <c r="C17" s="3">
        <v>4400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2:14" x14ac:dyDescent="0.3">
      <c r="B18" s="33" t="s">
        <v>5</v>
      </c>
      <c r="C18" s="3">
        <v>4400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2:14" x14ac:dyDescent="0.3">
      <c r="B19" s="33" t="s">
        <v>6</v>
      </c>
      <c r="C19" s="2">
        <v>5500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2:14" x14ac:dyDescent="0.3">
      <c r="B20" s="33" t="s">
        <v>7</v>
      </c>
      <c r="C20" s="3">
        <v>6600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2:14" x14ac:dyDescent="0.3">
      <c r="B21" s="33" t="s">
        <v>8</v>
      </c>
      <c r="C21" s="2">
        <v>6600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2:14" x14ac:dyDescent="0.3">
      <c r="B22" s="34" t="s">
        <v>9</v>
      </c>
      <c r="C22" s="3">
        <v>7700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spans="2:14" x14ac:dyDescent="0.3">
      <c r="B23" s="34" t="s">
        <v>10</v>
      </c>
      <c r="C23" s="2">
        <v>7700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5" spans="2:14" x14ac:dyDescent="0.3">
      <c r="B25" s="29" t="s">
        <v>0</v>
      </c>
      <c r="C25" s="30" t="s">
        <v>1</v>
      </c>
      <c r="D25" s="31" t="s">
        <v>11</v>
      </c>
    </row>
    <row r="26" spans="2:14" x14ac:dyDescent="0.3">
      <c r="B26" s="32" t="s">
        <v>2</v>
      </c>
      <c r="C26" s="3">
        <v>5500</v>
      </c>
      <c r="D26" s="23">
        <f t="shared" ref="D26:D34" si="0">SUM(D4:AH4,D15:AH15)</f>
        <v>3</v>
      </c>
    </row>
    <row r="27" spans="2:14" x14ac:dyDescent="0.3">
      <c r="B27" s="32" t="s">
        <v>3</v>
      </c>
      <c r="C27" s="2">
        <v>5500</v>
      </c>
      <c r="D27" s="23">
        <f t="shared" si="0"/>
        <v>0</v>
      </c>
    </row>
    <row r="28" spans="2:14" x14ac:dyDescent="0.3">
      <c r="B28" s="32" t="s">
        <v>4</v>
      </c>
      <c r="C28" s="3">
        <v>4400</v>
      </c>
      <c r="D28" s="23">
        <f t="shared" si="0"/>
        <v>0</v>
      </c>
    </row>
    <row r="29" spans="2:14" x14ac:dyDescent="0.3">
      <c r="B29" s="33" t="s">
        <v>5</v>
      </c>
      <c r="C29" s="3">
        <v>4400</v>
      </c>
      <c r="D29" s="23">
        <f t="shared" si="0"/>
        <v>3</v>
      </c>
    </row>
    <row r="30" spans="2:14" x14ac:dyDescent="0.3">
      <c r="B30" s="33" t="s">
        <v>6</v>
      </c>
      <c r="C30" s="2">
        <v>5500</v>
      </c>
      <c r="D30" s="23">
        <f t="shared" si="0"/>
        <v>2</v>
      </c>
    </row>
    <row r="31" spans="2:14" x14ac:dyDescent="0.3">
      <c r="B31" s="33" t="s">
        <v>7</v>
      </c>
      <c r="C31" s="3">
        <v>6600</v>
      </c>
      <c r="D31" s="23">
        <f t="shared" si="0"/>
        <v>2</v>
      </c>
    </row>
    <row r="32" spans="2:14" x14ac:dyDescent="0.3">
      <c r="B32" s="33" t="s">
        <v>8</v>
      </c>
      <c r="C32" s="2">
        <v>6600</v>
      </c>
      <c r="D32" s="23">
        <f t="shared" si="0"/>
        <v>1</v>
      </c>
    </row>
    <row r="33" spans="2:4" x14ac:dyDescent="0.3">
      <c r="B33" s="34" t="s">
        <v>9</v>
      </c>
      <c r="C33" s="3">
        <v>7700</v>
      </c>
      <c r="D33" s="23">
        <f t="shared" si="0"/>
        <v>2</v>
      </c>
    </row>
    <row r="34" spans="2:4" x14ac:dyDescent="0.3">
      <c r="B34" s="34" t="s">
        <v>10</v>
      </c>
      <c r="C34" s="2">
        <v>7700</v>
      </c>
      <c r="D34" s="23">
        <f t="shared" si="0"/>
        <v>1</v>
      </c>
    </row>
  </sheetData>
  <phoneticPr fontId="4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37</vt:i4>
      </vt:variant>
    </vt:vector>
  </HeadingPairs>
  <TitlesOfParts>
    <vt:vector size="37" baseType="lpstr">
      <vt:lpstr>Sheet1</vt:lpstr>
      <vt:lpstr>0401</vt:lpstr>
      <vt:lpstr>0402</vt:lpstr>
      <vt:lpstr>0403</vt:lpstr>
      <vt:lpstr>0404</vt:lpstr>
      <vt:lpstr>0405</vt:lpstr>
      <vt:lpstr>0406</vt:lpstr>
      <vt:lpstr>0407</vt:lpstr>
      <vt:lpstr>0408</vt:lpstr>
      <vt:lpstr>0409</vt:lpstr>
      <vt:lpstr>0410</vt:lpstr>
      <vt:lpstr>0411</vt:lpstr>
      <vt:lpstr>0412</vt:lpstr>
      <vt:lpstr>0414</vt:lpstr>
      <vt:lpstr>0415</vt:lpstr>
      <vt:lpstr>Sheet2</vt:lpstr>
      <vt:lpstr>0416</vt:lpstr>
      <vt:lpstr>0417</vt:lpstr>
      <vt:lpstr>0418</vt:lpstr>
      <vt:lpstr>0419</vt:lpstr>
      <vt:lpstr>0420</vt:lpstr>
      <vt:lpstr>0421</vt:lpstr>
      <vt:lpstr>0423</vt:lpstr>
      <vt:lpstr>0424</vt:lpstr>
      <vt:lpstr>0425</vt:lpstr>
      <vt:lpstr>0426</vt:lpstr>
      <vt:lpstr>0427</vt:lpstr>
      <vt:lpstr>0428</vt:lpstr>
      <vt:lpstr>14일</vt:lpstr>
      <vt:lpstr>15일</vt:lpstr>
      <vt:lpstr>18일</vt:lpstr>
      <vt:lpstr>19일</vt:lpstr>
      <vt:lpstr>24일</vt:lpstr>
      <vt:lpstr>20일</vt:lpstr>
      <vt:lpstr>21일</vt:lpstr>
      <vt:lpstr>22일</vt:lpstr>
      <vt:lpstr>23일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MONDRIAN Seoul Itaewon HK2</dc:creator>
  <cp:lastModifiedBy>Bella JANG</cp:lastModifiedBy>
  <cp:lastPrinted>2021-10-27T10:17:53Z</cp:lastPrinted>
  <dcterms:created xsi:type="dcterms:W3CDTF">2021-10-01T08:18:20Z</dcterms:created>
  <dcterms:modified xsi:type="dcterms:W3CDTF">2026-04-28T09:33:04Z</dcterms:modified>
</cp:coreProperties>
</file>