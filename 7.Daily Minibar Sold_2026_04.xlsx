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U:\DPT-HK\미니바 Sold\"/>
    </mc:Choice>
  </mc:AlternateContent>
  <xr:revisionPtr revIDLastSave="0" documentId="13_ncr:1_{AAB13E69-9FED-44F7-AEEE-4AB13D0FE4CB}" xr6:coauthVersionLast="47" xr6:coauthVersionMax="47" xr10:uidLastSave="{00000000-0000-0000-0000-000000000000}"/>
  <bookViews>
    <workbookView xWindow="-120" yWindow="-120" windowWidth="29040" windowHeight="15720" tabRatio="908" activeTab="31" xr2:uid="{00000000-000D-0000-FFFF-FFFF00000000}"/>
  </bookViews>
  <sheets>
    <sheet name="MONTHLY TOTAL" sheetId="47" r:id="rId1"/>
    <sheet name="POSTING,TR,COMP" sheetId="339" r:id="rId2"/>
    <sheet name="Mar 31" sheetId="380" r:id="rId3"/>
    <sheet name="1" sheetId="230" r:id="rId4"/>
    <sheet name="2" sheetId="351" r:id="rId5"/>
    <sheet name="3" sheetId="352" r:id="rId6"/>
    <sheet name="4" sheetId="353" r:id="rId7"/>
    <sheet name="5" sheetId="354" r:id="rId8"/>
    <sheet name="6" sheetId="355" r:id="rId9"/>
    <sheet name="7" sheetId="356" r:id="rId10"/>
    <sheet name="8" sheetId="357" r:id="rId11"/>
    <sheet name="9" sheetId="358" r:id="rId12"/>
    <sheet name="10" sheetId="359" r:id="rId13"/>
    <sheet name="11" sheetId="360" r:id="rId14"/>
    <sheet name="12" sheetId="361" r:id="rId15"/>
    <sheet name="13" sheetId="362" r:id="rId16"/>
    <sheet name="14" sheetId="363" r:id="rId17"/>
    <sheet name="15" sheetId="364" r:id="rId18"/>
    <sheet name="16" sheetId="365" r:id="rId19"/>
    <sheet name="17 (1)" sheetId="366" r:id="rId20"/>
    <sheet name="17 (2)" sheetId="381" r:id="rId21"/>
    <sheet name="18" sheetId="367" r:id="rId22"/>
    <sheet name="19" sheetId="368" r:id="rId23"/>
    <sheet name="20" sheetId="369" r:id="rId24"/>
    <sheet name="21" sheetId="370" r:id="rId25"/>
    <sheet name="22" sheetId="371" r:id="rId26"/>
    <sheet name="23" sheetId="372" r:id="rId27"/>
    <sheet name="24" sheetId="373" r:id="rId28"/>
    <sheet name="25" sheetId="374" r:id="rId29"/>
    <sheet name="26" sheetId="375" r:id="rId30"/>
    <sheet name="27" sheetId="376" r:id="rId31"/>
    <sheet name="28" sheetId="377" r:id="rId32"/>
    <sheet name="29" sheetId="378" r:id="rId33"/>
    <sheet name="30" sheetId="379" r:id="rId3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9" i="339" l="1"/>
  <c r="E80" i="339"/>
  <c r="E81" i="339"/>
  <c r="E82" i="339"/>
  <c r="G83" i="339"/>
  <c r="E69" i="339"/>
  <c r="E70" i="339"/>
  <c r="E71" i="339"/>
  <c r="E72" i="339"/>
  <c r="E73" i="339"/>
  <c r="E74" i="339"/>
  <c r="E75" i="339"/>
  <c r="E76" i="339"/>
  <c r="E77" i="339"/>
  <c r="E78" i="339"/>
  <c r="AK84" i="339"/>
  <c r="AJ84" i="339"/>
  <c r="AI84" i="339"/>
  <c r="AH84" i="339"/>
  <c r="AG84" i="339"/>
  <c r="AF84" i="339"/>
  <c r="AE84" i="339"/>
  <c r="AD84" i="339"/>
  <c r="AC84" i="339"/>
  <c r="AB84" i="339"/>
  <c r="AA84" i="339"/>
  <c r="Z84" i="339"/>
  <c r="Y84" i="339"/>
  <c r="X84" i="339"/>
  <c r="W84" i="339"/>
  <c r="V84" i="339"/>
  <c r="U84" i="339"/>
  <c r="T84" i="339"/>
  <c r="S84" i="339"/>
  <c r="R84" i="339"/>
  <c r="Q84" i="339"/>
  <c r="P84" i="339"/>
  <c r="O84" i="339"/>
  <c r="N84" i="339"/>
  <c r="M84" i="339"/>
  <c r="L84" i="339"/>
  <c r="K84" i="339"/>
  <c r="J84" i="339"/>
  <c r="I84" i="339"/>
  <c r="H84" i="339"/>
  <c r="G84" i="339"/>
  <c r="F84" i="339"/>
  <c r="AK83" i="339"/>
  <c r="AJ83" i="339"/>
  <c r="AI83" i="339"/>
  <c r="AH83" i="339"/>
  <c r="AG83" i="339"/>
  <c r="AF83" i="339"/>
  <c r="AE83" i="339"/>
  <c r="AD83" i="339"/>
  <c r="AC83" i="339"/>
  <c r="AB83" i="339"/>
  <c r="AA83" i="339"/>
  <c r="Z83" i="339"/>
  <c r="Y83" i="339"/>
  <c r="X83" i="339"/>
  <c r="W83" i="339"/>
  <c r="V83" i="339"/>
  <c r="U83" i="339"/>
  <c r="T83" i="339"/>
  <c r="S83" i="339"/>
  <c r="R83" i="339"/>
  <c r="Q83" i="339"/>
  <c r="P83" i="339"/>
  <c r="O83" i="339"/>
  <c r="N83" i="339"/>
  <c r="M83" i="339"/>
  <c r="L83" i="339"/>
  <c r="K83" i="339"/>
  <c r="J83" i="339"/>
  <c r="I83" i="339"/>
  <c r="H83" i="339"/>
  <c r="F83" i="339"/>
  <c r="D83" i="339"/>
  <c r="E84" i="339" l="1"/>
  <c r="E83" i="339"/>
  <c r="AU21" i="381"/>
  <c r="AT21" i="381"/>
  <c r="AS21" i="381"/>
  <c r="AR21" i="381"/>
  <c r="AQ21" i="381"/>
  <c r="AP21" i="381"/>
  <c r="AO21" i="381"/>
  <c r="AN21" i="381"/>
  <c r="AM21" i="381"/>
  <c r="AL21" i="381"/>
  <c r="AK21" i="381"/>
  <c r="AJ21" i="381"/>
  <c r="AI21" i="381"/>
  <c r="AH21" i="381"/>
  <c r="AG21" i="381"/>
  <c r="AF21" i="381"/>
  <c r="AE21" i="381"/>
  <c r="AD21" i="381"/>
  <c r="AC21" i="381"/>
  <c r="AB21" i="381"/>
  <c r="AA21" i="381"/>
  <c r="Z21" i="381"/>
  <c r="Y21" i="381"/>
  <c r="X21" i="381"/>
  <c r="W21" i="381"/>
  <c r="V21" i="381"/>
  <c r="U21" i="381"/>
  <c r="T21" i="381"/>
  <c r="S21" i="381"/>
  <c r="R21" i="381"/>
  <c r="Q21" i="381"/>
  <c r="P21" i="381"/>
  <c r="O21" i="381"/>
  <c r="N21" i="381"/>
  <c r="M21" i="381"/>
  <c r="L21" i="381"/>
  <c r="K21" i="381"/>
  <c r="J21" i="381"/>
  <c r="I21" i="381"/>
  <c r="H21" i="381"/>
  <c r="AU20" i="381"/>
  <c r="AT20" i="381"/>
  <c r="AS20" i="381"/>
  <c r="AR20" i="381"/>
  <c r="AQ20" i="381"/>
  <c r="AP20" i="381"/>
  <c r="AO20" i="381"/>
  <c r="AN20" i="381"/>
  <c r="AM20" i="381"/>
  <c r="AL20" i="381"/>
  <c r="AK20" i="381"/>
  <c r="AJ20" i="381"/>
  <c r="AI20" i="381"/>
  <c r="AH20" i="381"/>
  <c r="AG20" i="381"/>
  <c r="AF20" i="381"/>
  <c r="AE20" i="381"/>
  <c r="AD20" i="381"/>
  <c r="AC20" i="381"/>
  <c r="AB20" i="381"/>
  <c r="AA20" i="381"/>
  <c r="Z20" i="381"/>
  <c r="Y20" i="381"/>
  <c r="X20" i="381"/>
  <c r="W20" i="381"/>
  <c r="V20" i="381"/>
  <c r="U20" i="381"/>
  <c r="T20" i="381"/>
  <c r="S20" i="381"/>
  <c r="R20" i="381"/>
  <c r="Q20" i="381"/>
  <c r="P20" i="381"/>
  <c r="O20" i="381"/>
  <c r="N20" i="381"/>
  <c r="M20" i="381"/>
  <c r="L20" i="381"/>
  <c r="K20" i="381"/>
  <c r="J20" i="381"/>
  <c r="I20" i="381"/>
  <c r="H20" i="381"/>
  <c r="E20" i="381"/>
  <c r="G19" i="381"/>
  <c r="F19" i="381"/>
  <c r="G18" i="381"/>
  <c r="F18" i="381"/>
  <c r="G17" i="381"/>
  <c r="F17" i="381"/>
  <c r="G16" i="381"/>
  <c r="F16" i="381"/>
  <c r="G15" i="381"/>
  <c r="F15" i="381" s="1"/>
  <c r="G14" i="381"/>
  <c r="F14" i="381"/>
  <c r="G13" i="381"/>
  <c r="F13" i="381"/>
  <c r="G12" i="381"/>
  <c r="F12" i="381"/>
  <c r="G11" i="381"/>
  <c r="F11" i="381"/>
  <c r="G10" i="381"/>
  <c r="F10" i="381"/>
  <c r="G9" i="381"/>
  <c r="F9" i="381"/>
  <c r="G8" i="381"/>
  <c r="F8" i="381"/>
  <c r="G7" i="381"/>
  <c r="F7" i="381" s="1"/>
  <c r="G6" i="381"/>
  <c r="F6" i="381" s="1"/>
  <c r="AL21" i="339"/>
  <c r="AK21" i="339"/>
  <c r="AJ21" i="339"/>
  <c r="AI21" i="339"/>
  <c r="AH21" i="339"/>
  <c r="AG21" i="339"/>
  <c r="AF21" i="339"/>
  <c r="AE21" i="339"/>
  <c r="AD21" i="339"/>
  <c r="AC21" i="339"/>
  <c r="AB21" i="339"/>
  <c r="AA21" i="339"/>
  <c r="Z21" i="339"/>
  <c r="Y21" i="339"/>
  <c r="X21" i="339"/>
  <c r="W21" i="339"/>
  <c r="V21" i="339"/>
  <c r="U21" i="339"/>
  <c r="T21" i="339"/>
  <c r="S21" i="339"/>
  <c r="R21" i="339"/>
  <c r="Q21" i="339"/>
  <c r="J21" i="339"/>
  <c r="I21" i="339"/>
  <c r="H21" i="339"/>
  <c r="G21" i="339"/>
  <c r="K22" i="47" s="1"/>
  <c r="AT21" i="375"/>
  <c r="G8" i="377"/>
  <c r="F8" i="377" s="1"/>
  <c r="G7" i="377"/>
  <c r="F7" i="377" s="1"/>
  <c r="G6" i="377"/>
  <c r="F6" i="377" s="1"/>
  <c r="G19" i="378"/>
  <c r="F19" i="378" s="1"/>
  <c r="G18" i="378"/>
  <c r="F18" i="378" s="1"/>
  <c r="G17" i="378"/>
  <c r="F17" i="378" s="1"/>
  <c r="G16" i="378"/>
  <c r="F16" i="378" s="1"/>
  <c r="G15" i="378"/>
  <c r="G20" i="378" s="1"/>
  <c r="G14" i="378"/>
  <c r="G13" i="378"/>
  <c r="F13" i="378" s="1"/>
  <c r="G12" i="378"/>
  <c r="G11" i="378"/>
  <c r="F11" i="378" s="1"/>
  <c r="G10" i="378"/>
  <c r="F10" i="378" s="1"/>
  <c r="G9" i="378"/>
  <c r="F9" i="378" s="1"/>
  <c r="G8" i="378"/>
  <c r="G7" i="378"/>
  <c r="F7" i="378" s="1"/>
  <c r="G6" i="378"/>
  <c r="F6" i="378" s="1"/>
  <c r="G19" i="379"/>
  <c r="G18" i="379"/>
  <c r="F18" i="379" s="1"/>
  <c r="G17" i="379"/>
  <c r="F17" i="379" s="1"/>
  <c r="G16" i="379"/>
  <c r="F16" i="379" s="1"/>
  <c r="G15" i="379"/>
  <c r="F15" i="379" s="1"/>
  <c r="G14" i="379"/>
  <c r="F14" i="379" s="1"/>
  <c r="G13" i="379"/>
  <c r="F13" i="379" s="1"/>
  <c r="G12" i="379"/>
  <c r="F12" i="379" s="1"/>
  <c r="G11" i="379"/>
  <c r="F11" i="379" s="1"/>
  <c r="G10" i="379"/>
  <c r="F10" i="379" s="1"/>
  <c r="G9" i="379"/>
  <c r="G8" i="379"/>
  <c r="G7" i="379"/>
  <c r="G6" i="379"/>
  <c r="G20" i="379" s="1"/>
  <c r="F19" i="379"/>
  <c r="F9" i="379"/>
  <c r="F8" i="379"/>
  <c r="F7" i="379"/>
  <c r="F6" i="379"/>
  <c r="F14" i="378"/>
  <c r="F12" i="378"/>
  <c r="F8" i="378"/>
  <c r="G19" i="377"/>
  <c r="F19" i="377"/>
  <c r="G18" i="377"/>
  <c r="F18" i="377" s="1"/>
  <c r="G17" i="377"/>
  <c r="F17" i="377"/>
  <c r="G16" i="377"/>
  <c r="F16" i="377"/>
  <c r="G15" i="377"/>
  <c r="F15" i="377" s="1"/>
  <c r="G14" i="377"/>
  <c r="F14" i="377" s="1"/>
  <c r="G13" i="377"/>
  <c r="F13" i="377"/>
  <c r="G12" i="377"/>
  <c r="F12" i="377" s="1"/>
  <c r="G11" i="377"/>
  <c r="F11" i="377" s="1"/>
  <c r="G10" i="377"/>
  <c r="F10" i="377" s="1"/>
  <c r="G9" i="377"/>
  <c r="F9" i="377" s="1"/>
  <c r="G19" i="376"/>
  <c r="F19" i="376" s="1"/>
  <c r="G18" i="376"/>
  <c r="F18" i="376"/>
  <c r="G17" i="376"/>
  <c r="F17" i="376" s="1"/>
  <c r="G16" i="376"/>
  <c r="F16" i="376" s="1"/>
  <c r="G15" i="376"/>
  <c r="F15" i="376" s="1"/>
  <c r="G14" i="376"/>
  <c r="F14" i="376"/>
  <c r="G13" i="376"/>
  <c r="F13" i="376"/>
  <c r="G12" i="376"/>
  <c r="F12" i="376"/>
  <c r="G11" i="376"/>
  <c r="F11" i="376" s="1"/>
  <c r="G10" i="376"/>
  <c r="F10" i="376" s="1"/>
  <c r="G9" i="376"/>
  <c r="F9" i="376" s="1"/>
  <c r="G8" i="376"/>
  <c r="F8" i="376"/>
  <c r="G7" i="376"/>
  <c r="F7" i="376" s="1"/>
  <c r="G6" i="376"/>
  <c r="F6" i="376"/>
  <c r="G19" i="375"/>
  <c r="F19" i="375" s="1"/>
  <c r="G18" i="375"/>
  <c r="F18" i="375" s="1"/>
  <c r="G17" i="375"/>
  <c r="F17" i="375"/>
  <c r="G16" i="375"/>
  <c r="F16" i="375"/>
  <c r="G15" i="375"/>
  <c r="F15" i="375"/>
  <c r="G14" i="375"/>
  <c r="F14" i="375" s="1"/>
  <c r="G13" i="375"/>
  <c r="F13" i="375" s="1"/>
  <c r="G12" i="375"/>
  <c r="F12" i="375" s="1"/>
  <c r="G11" i="375"/>
  <c r="F11" i="375"/>
  <c r="G10" i="375"/>
  <c r="F10" i="375" s="1"/>
  <c r="G9" i="375"/>
  <c r="F9" i="375" s="1"/>
  <c r="G8" i="375"/>
  <c r="F8" i="375"/>
  <c r="G7" i="375"/>
  <c r="F7" i="375" s="1"/>
  <c r="G6" i="375"/>
  <c r="F6" i="375" s="1"/>
  <c r="G19" i="374"/>
  <c r="F19" i="374" s="1"/>
  <c r="G18" i="374"/>
  <c r="F18" i="374" s="1"/>
  <c r="G17" i="374"/>
  <c r="F17" i="374"/>
  <c r="G16" i="374"/>
  <c r="F16" i="374"/>
  <c r="G15" i="374"/>
  <c r="F15" i="374" s="1"/>
  <c r="G14" i="374"/>
  <c r="F14" i="374" s="1"/>
  <c r="G13" i="374"/>
  <c r="F13" i="374" s="1"/>
  <c r="G12" i="374"/>
  <c r="F12" i="374"/>
  <c r="G11" i="374"/>
  <c r="F11" i="374" s="1"/>
  <c r="G10" i="374"/>
  <c r="F10" i="374" s="1"/>
  <c r="G9" i="374"/>
  <c r="F9" i="374" s="1"/>
  <c r="G8" i="374"/>
  <c r="F8" i="374" s="1"/>
  <c r="G7" i="374"/>
  <c r="F7" i="374" s="1"/>
  <c r="G6" i="374"/>
  <c r="F6" i="374" s="1"/>
  <c r="G19" i="373"/>
  <c r="F19" i="373" s="1"/>
  <c r="G18" i="373"/>
  <c r="F18" i="373" s="1"/>
  <c r="G17" i="373"/>
  <c r="F17" i="373"/>
  <c r="G16" i="373"/>
  <c r="F16" i="373"/>
  <c r="G15" i="373"/>
  <c r="F15" i="373" s="1"/>
  <c r="G14" i="373"/>
  <c r="F14" i="373" s="1"/>
  <c r="G13" i="373"/>
  <c r="F13" i="373" s="1"/>
  <c r="G12" i="373"/>
  <c r="F12" i="373"/>
  <c r="G11" i="373"/>
  <c r="F11" i="373" s="1"/>
  <c r="G10" i="373"/>
  <c r="F10" i="373" s="1"/>
  <c r="G9" i="373"/>
  <c r="F9" i="373" s="1"/>
  <c r="G8" i="373"/>
  <c r="F8" i="373" s="1"/>
  <c r="G7" i="373"/>
  <c r="F7" i="373" s="1"/>
  <c r="G6" i="373"/>
  <c r="F6" i="373" s="1"/>
  <c r="G19" i="372"/>
  <c r="F19" i="372" s="1"/>
  <c r="G18" i="372"/>
  <c r="F18" i="372"/>
  <c r="G17" i="372"/>
  <c r="F17" i="372"/>
  <c r="G16" i="372"/>
  <c r="F16" i="372"/>
  <c r="G15" i="372"/>
  <c r="F15" i="372" s="1"/>
  <c r="G14" i="372"/>
  <c r="F14" i="372" s="1"/>
  <c r="G13" i="372"/>
  <c r="F13" i="372" s="1"/>
  <c r="G12" i="372"/>
  <c r="F12" i="372" s="1"/>
  <c r="G11" i="372"/>
  <c r="F11" i="372"/>
  <c r="G10" i="372"/>
  <c r="F10" i="372" s="1"/>
  <c r="G9" i="372"/>
  <c r="F9" i="372" s="1"/>
  <c r="G8" i="372"/>
  <c r="F8" i="372" s="1"/>
  <c r="G7" i="372"/>
  <c r="F7" i="372" s="1"/>
  <c r="G6" i="372"/>
  <c r="F6" i="372" s="1"/>
  <c r="G19" i="371"/>
  <c r="F19" i="371" s="1"/>
  <c r="G18" i="371"/>
  <c r="F18" i="371"/>
  <c r="G17" i="371"/>
  <c r="F17" i="371"/>
  <c r="G16" i="371"/>
  <c r="F16" i="371" s="1"/>
  <c r="G15" i="371"/>
  <c r="F15" i="371" s="1"/>
  <c r="G14" i="371"/>
  <c r="F14" i="371"/>
  <c r="G13" i="371"/>
  <c r="F13" i="371"/>
  <c r="G12" i="371"/>
  <c r="F12" i="371"/>
  <c r="G11" i="371"/>
  <c r="F11" i="371" s="1"/>
  <c r="G10" i="371"/>
  <c r="F10" i="371"/>
  <c r="G9" i="371"/>
  <c r="F9" i="371" s="1"/>
  <c r="G8" i="371"/>
  <c r="F8" i="371" s="1"/>
  <c r="G7" i="371"/>
  <c r="F7" i="371" s="1"/>
  <c r="G6" i="371"/>
  <c r="F6" i="371" s="1"/>
  <c r="G19" i="370"/>
  <c r="F19" i="370" s="1"/>
  <c r="G18" i="370"/>
  <c r="F18" i="370" s="1"/>
  <c r="G17" i="370"/>
  <c r="F17" i="370"/>
  <c r="G16" i="370"/>
  <c r="F16" i="370" s="1"/>
  <c r="G15" i="370"/>
  <c r="F15" i="370" s="1"/>
  <c r="G14" i="370"/>
  <c r="F14" i="370"/>
  <c r="G13" i="370"/>
  <c r="F13" i="370"/>
  <c r="G12" i="370"/>
  <c r="F12" i="370" s="1"/>
  <c r="G11" i="370"/>
  <c r="F11" i="370" s="1"/>
  <c r="G10" i="370"/>
  <c r="F10" i="370"/>
  <c r="G9" i="370"/>
  <c r="F9" i="370" s="1"/>
  <c r="G8" i="370"/>
  <c r="F8" i="370"/>
  <c r="G7" i="370"/>
  <c r="F7" i="370" s="1"/>
  <c r="G6" i="370"/>
  <c r="F6" i="370" s="1"/>
  <c r="G19" i="369"/>
  <c r="F19" i="369" s="1"/>
  <c r="G18" i="369"/>
  <c r="F18" i="369" s="1"/>
  <c r="G17" i="369"/>
  <c r="F17" i="369"/>
  <c r="G16" i="369"/>
  <c r="F16" i="369"/>
  <c r="G15" i="369"/>
  <c r="F15" i="369" s="1"/>
  <c r="G14" i="369"/>
  <c r="F14" i="369"/>
  <c r="G13" i="369"/>
  <c r="F13" i="369"/>
  <c r="G12" i="369"/>
  <c r="F12" i="369" s="1"/>
  <c r="G11" i="369"/>
  <c r="F11" i="369" s="1"/>
  <c r="G10" i="369"/>
  <c r="F10" i="369"/>
  <c r="G9" i="369"/>
  <c r="F9" i="369" s="1"/>
  <c r="G8" i="369"/>
  <c r="F8" i="369"/>
  <c r="G7" i="369"/>
  <c r="F7" i="369" s="1"/>
  <c r="G6" i="369"/>
  <c r="F6" i="369"/>
  <c r="G19" i="368"/>
  <c r="F19" i="368" s="1"/>
  <c r="G18" i="368"/>
  <c r="F18" i="368"/>
  <c r="G17" i="368"/>
  <c r="F17" i="368"/>
  <c r="G16" i="368"/>
  <c r="F16" i="368"/>
  <c r="G15" i="368"/>
  <c r="F15" i="368" s="1"/>
  <c r="G14" i="368"/>
  <c r="F14" i="368" s="1"/>
  <c r="G13" i="368"/>
  <c r="F13" i="368" s="1"/>
  <c r="G12" i="368"/>
  <c r="F12" i="368"/>
  <c r="G11" i="368"/>
  <c r="F11" i="368" s="1"/>
  <c r="G10" i="368"/>
  <c r="F10" i="368" s="1"/>
  <c r="G9" i="368"/>
  <c r="F9" i="368" s="1"/>
  <c r="G8" i="368"/>
  <c r="F8" i="368"/>
  <c r="G7" i="368"/>
  <c r="F7" i="368" s="1"/>
  <c r="G6" i="368"/>
  <c r="F6" i="368" s="1"/>
  <c r="G19" i="367"/>
  <c r="F19" i="367" s="1"/>
  <c r="G18" i="367"/>
  <c r="F18" i="367" s="1"/>
  <c r="G17" i="367"/>
  <c r="F17" i="367"/>
  <c r="G16" i="367"/>
  <c r="F16" i="367"/>
  <c r="G15" i="367"/>
  <c r="F15" i="367" s="1"/>
  <c r="G14" i="367"/>
  <c r="F14" i="367" s="1"/>
  <c r="G13" i="367"/>
  <c r="F13" i="367" s="1"/>
  <c r="G12" i="367"/>
  <c r="F12" i="367" s="1"/>
  <c r="G11" i="367"/>
  <c r="F11" i="367" s="1"/>
  <c r="G10" i="367"/>
  <c r="F10" i="367" s="1"/>
  <c r="G9" i="367"/>
  <c r="F9" i="367" s="1"/>
  <c r="G8" i="367"/>
  <c r="F8" i="367"/>
  <c r="G7" i="367"/>
  <c r="F7" i="367" s="1"/>
  <c r="G6" i="367"/>
  <c r="F6" i="367" s="1"/>
  <c r="G19" i="366"/>
  <c r="F19" i="366" s="1"/>
  <c r="G18" i="366"/>
  <c r="F18" i="366"/>
  <c r="G17" i="366"/>
  <c r="F17" i="366"/>
  <c r="G16" i="366"/>
  <c r="F16" i="366"/>
  <c r="G15" i="366"/>
  <c r="F15" i="366" s="1"/>
  <c r="G14" i="366"/>
  <c r="F14" i="366" s="1"/>
  <c r="G13" i="366"/>
  <c r="F13" i="366" s="1"/>
  <c r="G12" i="366"/>
  <c r="F12" i="366"/>
  <c r="G11" i="366"/>
  <c r="F11" i="366" s="1"/>
  <c r="G10" i="366"/>
  <c r="F10" i="366"/>
  <c r="G9" i="366"/>
  <c r="F9" i="366" s="1"/>
  <c r="G8" i="366"/>
  <c r="F8" i="366" s="1"/>
  <c r="G7" i="366"/>
  <c r="F7" i="366" s="1"/>
  <c r="G6" i="366"/>
  <c r="F6" i="366"/>
  <c r="G19" i="365"/>
  <c r="F19" i="365"/>
  <c r="G18" i="365"/>
  <c r="F18" i="365" s="1"/>
  <c r="G17" i="365"/>
  <c r="F17" i="365"/>
  <c r="G16" i="365"/>
  <c r="F16" i="365"/>
  <c r="G15" i="365"/>
  <c r="F15" i="365"/>
  <c r="G14" i="365"/>
  <c r="F14" i="365" s="1"/>
  <c r="G13" i="365"/>
  <c r="F13" i="365" s="1"/>
  <c r="G12" i="365"/>
  <c r="F12" i="365" s="1"/>
  <c r="G11" i="365"/>
  <c r="F11" i="365"/>
  <c r="G10" i="365"/>
  <c r="F10" i="365" s="1"/>
  <c r="G9" i="365"/>
  <c r="F9" i="365" s="1"/>
  <c r="G8" i="365"/>
  <c r="F8" i="365" s="1"/>
  <c r="G7" i="365"/>
  <c r="F7" i="365" s="1"/>
  <c r="G6" i="365"/>
  <c r="F6" i="365" s="1"/>
  <c r="G19" i="364"/>
  <c r="F19" i="364" s="1"/>
  <c r="G18" i="364"/>
  <c r="F18" i="364"/>
  <c r="G17" i="364"/>
  <c r="F17" i="364"/>
  <c r="G16" i="364"/>
  <c r="F16" i="364" s="1"/>
  <c r="G15" i="364"/>
  <c r="F15" i="364" s="1"/>
  <c r="G14" i="364"/>
  <c r="F14" i="364" s="1"/>
  <c r="G13" i="364"/>
  <c r="F13" i="364" s="1"/>
  <c r="G12" i="364"/>
  <c r="F12" i="364"/>
  <c r="G11" i="364"/>
  <c r="F11" i="364" s="1"/>
  <c r="G10" i="364"/>
  <c r="F10" i="364"/>
  <c r="G9" i="364"/>
  <c r="F9" i="364" s="1"/>
  <c r="G8" i="364"/>
  <c r="F8" i="364" s="1"/>
  <c r="G7" i="364"/>
  <c r="F7" i="364" s="1"/>
  <c r="G6" i="364"/>
  <c r="F6" i="364" s="1"/>
  <c r="G19" i="363"/>
  <c r="F19" i="363" s="1"/>
  <c r="G18" i="363"/>
  <c r="F18" i="363" s="1"/>
  <c r="G17" i="363"/>
  <c r="F17" i="363"/>
  <c r="G16" i="363"/>
  <c r="F16" i="363" s="1"/>
  <c r="G15" i="363"/>
  <c r="F15" i="363" s="1"/>
  <c r="G14" i="363"/>
  <c r="F14" i="363"/>
  <c r="G13" i="363"/>
  <c r="F13" i="363" s="1"/>
  <c r="G12" i="363"/>
  <c r="F12" i="363"/>
  <c r="G11" i="363"/>
  <c r="F11" i="363" s="1"/>
  <c r="G10" i="363"/>
  <c r="F10" i="363"/>
  <c r="G9" i="363"/>
  <c r="F9" i="363"/>
  <c r="G8" i="363"/>
  <c r="F8" i="363"/>
  <c r="G7" i="363"/>
  <c r="F7" i="363" s="1"/>
  <c r="G6" i="363"/>
  <c r="F6" i="363" s="1"/>
  <c r="G19" i="362"/>
  <c r="F19" i="362"/>
  <c r="G18" i="362"/>
  <c r="F18" i="362"/>
  <c r="G17" i="362"/>
  <c r="F17" i="362" s="1"/>
  <c r="G16" i="362"/>
  <c r="F16" i="362"/>
  <c r="G15" i="362"/>
  <c r="F15" i="362"/>
  <c r="G14" i="362"/>
  <c r="F14" i="362"/>
  <c r="G13" i="362"/>
  <c r="F13" i="362" s="1"/>
  <c r="G12" i="362"/>
  <c r="F12" i="362" s="1"/>
  <c r="G11" i="362"/>
  <c r="F11" i="362" s="1"/>
  <c r="G10" i="362"/>
  <c r="F10" i="362"/>
  <c r="G9" i="362"/>
  <c r="F9" i="362" s="1"/>
  <c r="G8" i="362"/>
  <c r="F8" i="362"/>
  <c r="G7" i="362"/>
  <c r="F7" i="362" s="1"/>
  <c r="G6" i="362"/>
  <c r="F6" i="362"/>
  <c r="G19" i="361"/>
  <c r="F19" i="361" s="1"/>
  <c r="G18" i="361"/>
  <c r="F18" i="361"/>
  <c r="G17" i="361"/>
  <c r="F17" i="361"/>
  <c r="G16" i="361"/>
  <c r="F16" i="361"/>
  <c r="G15" i="361"/>
  <c r="F15" i="361" s="1"/>
  <c r="G14" i="361"/>
  <c r="F14" i="361"/>
  <c r="G13" i="361"/>
  <c r="F13" i="361"/>
  <c r="G12" i="361"/>
  <c r="F12" i="361" s="1"/>
  <c r="G11" i="361"/>
  <c r="F11" i="361" s="1"/>
  <c r="G10" i="361"/>
  <c r="F10" i="361" s="1"/>
  <c r="G9" i="361"/>
  <c r="F9" i="361"/>
  <c r="G8" i="361"/>
  <c r="F8" i="361"/>
  <c r="G7" i="361"/>
  <c r="F7" i="361" s="1"/>
  <c r="G6" i="361"/>
  <c r="F6" i="361" s="1"/>
  <c r="G19" i="360"/>
  <c r="F19" i="360" s="1"/>
  <c r="G18" i="360"/>
  <c r="F18" i="360"/>
  <c r="G17" i="360"/>
  <c r="F17" i="360" s="1"/>
  <c r="G16" i="360"/>
  <c r="F16" i="360" s="1"/>
  <c r="G15" i="360"/>
  <c r="F15" i="360" s="1"/>
  <c r="G14" i="360"/>
  <c r="F14" i="360" s="1"/>
  <c r="G13" i="360"/>
  <c r="F13" i="360"/>
  <c r="G12" i="360"/>
  <c r="F12" i="360" s="1"/>
  <c r="G11" i="360"/>
  <c r="F11" i="360" s="1"/>
  <c r="G10" i="360"/>
  <c r="F10" i="360"/>
  <c r="G9" i="360"/>
  <c r="F9" i="360" s="1"/>
  <c r="G8" i="360"/>
  <c r="F8" i="360"/>
  <c r="G7" i="360"/>
  <c r="F7" i="360" s="1"/>
  <c r="G6" i="360"/>
  <c r="F6" i="360" s="1"/>
  <c r="G19" i="359"/>
  <c r="F19" i="359" s="1"/>
  <c r="G18" i="359"/>
  <c r="F18" i="359" s="1"/>
  <c r="G17" i="359"/>
  <c r="F17" i="359"/>
  <c r="G16" i="359"/>
  <c r="F16" i="359"/>
  <c r="G15" i="359"/>
  <c r="F15" i="359" s="1"/>
  <c r="G14" i="359"/>
  <c r="F14" i="359" s="1"/>
  <c r="G13" i="359"/>
  <c r="F13" i="359"/>
  <c r="G12" i="359"/>
  <c r="F12" i="359"/>
  <c r="G11" i="359"/>
  <c r="F11" i="359" s="1"/>
  <c r="G10" i="359"/>
  <c r="F10" i="359"/>
  <c r="G9" i="359"/>
  <c r="F9" i="359"/>
  <c r="G8" i="359"/>
  <c r="F8" i="359" s="1"/>
  <c r="G7" i="359"/>
  <c r="F7" i="359" s="1"/>
  <c r="G6" i="359"/>
  <c r="F6" i="359"/>
  <c r="G19" i="358"/>
  <c r="F19" i="358" s="1"/>
  <c r="G18" i="358"/>
  <c r="F18" i="358" s="1"/>
  <c r="G17" i="358"/>
  <c r="F17" i="358"/>
  <c r="G16" i="358"/>
  <c r="F16" i="358"/>
  <c r="G15" i="358"/>
  <c r="F15" i="358"/>
  <c r="G14" i="358"/>
  <c r="F14" i="358" s="1"/>
  <c r="G13" i="358"/>
  <c r="F13" i="358"/>
  <c r="G12" i="358"/>
  <c r="F12" i="358"/>
  <c r="G11" i="358"/>
  <c r="F11" i="358"/>
  <c r="G10" i="358"/>
  <c r="F10" i="358" s="1"/>
  <c r="G9" i="358"/>
  <c r="F9" i="358" s="1"/>
  <c r="G8" i="358"/>
  <c r="F8" i="358" s="1"/>
  <c r="G7" i="358"/>
  <c r="F7" i="358"/>
  <c r="G6" i="358"/>
  <c r="F6" i="358" s="1"/>
  <c r="G19" i="357"/>
  <c r="F19" i="357" s="1"/>
  <c r="G18" i="357"/>
  <c r="F18" i="357"/>
  <c r="G17" i="357"/>
  <c r="F17" i="357"/>
  <c r="G16" i="357"/>
  <c r="F16" i="357"/>
  <c r="G15" i="357"/>
  <c r="F15" i="357"/>
  <c r="G14" i="357"/>
  <c r="F14" i="357"/>
  <c r="G13" i="357"/>
  <c r="F13" i="357"/>
  <c r="G12" i="357"/>
  <c r="F12" i="357"/>
  <c r="G11" i="357"/>
  <c r="F11" i="357" s="1"/>
  <c r="G10" i="357"/>
  <c r="F10" i="357"/>
  <c r="G9" i="357"/>
  <c r="F9" i="357" s="1"/>
  <c r="G8" i="357"/>
  <c r="F8" i="357"/>
  <c r="G7" i="357"/>
  <c r="F7" i="357" s="1"/>
  <c r="G6" i="357"/>
  <c r="F6" i="357" s="1"/>
  <c r="G19" i="356"/>
  <c r="F19" i="356" s="1"/>
  <c r="G18" i="356"/>
  <c r="F18" i="356"/>
  <c r="G17" i="356"/>
  <c r="F17" i="356" s="1"/>
  <c r="G16" i="356"/>
  <c r="F16" i="356"/>
  <c r="G15" i="356"/>
  <c r="F15" i="356" s="1"/>
  <c r="G14" i="356"/>
  <c r="F14" i="356"/>
  <c r="G13" i="356"/>
  <c r="F13" i="356" s="1"/>
  <c r="G12" i="356"/>
  <c r="F12" i="356"/>
  <c r="G11" i="356"/>
  <c r="F11" i="356" s="1"/>
  <c r="G10" i="356"/>
  <c r="F10" i="356"/>
  <c r="G9" i="356"/>
  <c r="F9" i="356" s="1"/>
  <c r="G8" i="356"/>
  <c r="F8" i="356"/>
  <c r="G7" i="356"/>
  <c r="F7" i="356" s="1"/>
  <c r="G6" i="356"/>
  <c r="F6" i="356" s="1"/>
  <c r="G19" i="355"/>
  <c r="F19" i="355" s="1"/>
  <c r="G18" i="355"/>
  <c r="F18" i="355" s="1"/>
  <c r="G17" i="355"/>
  <c r="F17" i="355" s="1"/>
  <c r="G16" i="355"/>
  <c r="F16" i="355" s="1"/>
  <c r="G15" i="355"/>
  <c r="F15" i="355" s="1"/>
  <c r="G14" i="355"/>
  <c r="F14" i="355" s="1"/>
  <c r="G13" i="355"/>
  <c r="F13" i="355"/>
  <c r="G12" i="355"/>
  <c r="F12" i="355" s="1"/>
  <c r="G11" i="355"/>
  <c r="F11" i="355" s="1"/>
  <c r="G10" i="355"/>
  <c r="F10" i="355" s="1"/>
  <c r="G9" i="355"/>
  <c r="F9" i="355" s="1"/>
  <c r="G8" i="355"/>
  <c r="F8" i="355"/>
  <c r="G7" i="355"/>
  <c r="F7" i="355" s="1"/>
  <c r="G6" i="355"/>
  <c r="F6" i="355" s="1"/>
  <c r="G19" i="354"/>
  <c r="F19" i="354" s="1"/>
  <c r="G18" i="354"/>
  <c r="F18" i="354"/>
  <c r="G17" i="354"/>
  <c r="F17" i="354"/>
  <c r="G16" i="354"/>
  <c r="F16" i="354"/>
  <c r="G15" i="354"/>
  <c r="F15" i="354" s="1"/>
  <c r="G14" i="354"/>
  <c r="F14" i="354"/>
  <c r="G13" i="354"/>
  <c r="F13" i="354" s="1"/>
  <c r="G12" i="354"/>
  <c r="F12" i="354"/>
  <c r="G11" i="354"/>
  <c r="F11" i="354" s="1"/>
  <c r="G10" i="354"/>
  <c r="F10" i="354"/>
  <c r="G9" i="354"/>
  <c r="F9" i="354" s="1"/>
  <c r="G8" i="354"/>
  <c r="F8" i="354"/>
  <c r="G7" i="354"/>
  <c r="F7" i="354" s="1"/>
  <c r="G6" i="354"/>
  <c r="F6" i="354" s="1"/>
  <c r="G19" i="353"/>
  <c r="F19" i="353" s="1"/>
  <c r="G18" i="353"/>
  <c r="F18" i="353" s="1"/>
  <c r="G17" i="353"/>
  <c r="F17" i="353"/>
  <c r="G16" i="353"/>
  <c r="F16" i="353" s="1"/>
  <c r="G15" i="353"/>
  <c r="F15" i="353" s="1"/>
  <c r="G14" i="353"/>
  <c r="F14" i="353" s="1"/>
  <c r="G13" i="353"/>
  <c r="F13" i="353" s="1"/>
  <c r="G12" i="353"/>
  <c r="F12" i="353"/>
  <c r="G11" i="353"/>
  <c r="F11" i="353" s="1"/>
  <c r="G10" i="353"/>
  <c r="F10" i="353" s="1"/>
  <c r="G9" i="353"/>
  <c r="F9" i="353" s="1"/>
  <c r="G8" i="353"/>
  <c r="F8" i="353"/>
  <c r="G7" i="353"/>
  <c r="F7" i="353" s="1"/>
  <c r="G6" i="353"/>
  <c r="F6" i="353" s="1"/>
  <c r="G19" i="352"/>
  <c r="F19" i="352" s="1"/>
  <c r="G18" i="352"/>
  <c r="F18" i="352" s="1"/>
  <c r="G17" i="352"/>
  <c r="F17" i="352"/>
  <c r="G16" i="352"/>
  <c r="F16" i="352" s="1"/>
  <c r="G15" i="352"/>
  <c r="F15" i="352" s="1"/>
  <c r="G14" i="352"/>
  <c r="F14" i="352" s="1"/>
  <c r="G13" i="352"/>
  <c r="F13" i="352"/>
  <c r="G12" i="352"/>
  <c r="F12" i="352"/>
  <c r="G11" i="352"/>
  <c r="F11" i="352" s="1"/>
  <c r="G10" i="352"/>
  <c r="F10" i="352" s="1"/>
  <c r="G9" i="352"/>
  <c r="F9" i="352"/>
  <c r="G8" i="352"/>
  <c r="F8" i="352"/>
  <c r="G7" i="352"/>
  <c r="F7" i="352" s="1"/>
  <c r="G6" i="352"/>
  <c r="F6" i="352" s="1"/>
  <c r="G19" i="351"/>
  <c r="F19" i="351" s="1"/>
  <c r="G18" i="351"/>
  <c r="F18" i="351"/>
  <c r="G17" i="351"/>
  <c r="F17" i="351" s="1"/>
  <c r="G16" i="351"/>
  <c r="F16" i="351"/>
  <c r="G15" i="351"/>
  <c r="F15" i="351"/>
  <c r="G14" i="351"/>
  <c r="F14" i="351"/>
  <c r="G13" i="351"/>
  <c r="F13" i="351"/>
  <c r="G12" i="351"/>
  <c r="F12" i="351"/>
  <c r="G11" i="351"/>
  <c r="F11" i="351"/>
  <c r="G10" i="351"/>
  <c r="F10" i="351" s="1"/>
  <c r="G9" i="351"/>
  <c r="F9" i="351" s="1"/>
  <c r="G8" i="351"/>
  <c r="F8" i="351" s="1"/>
  <c r="G7" i="351"/>
  <c r="F7" i="351" s="1"/>
  <c r="G6" i="351"/>
  <c r="F6" i="351" s="1"/>
  <c r="G19" i="230"/>
  <c r="F19" i="230" s="1"/>
  <c r="G18" i="230"/>
  <c r="F18" i="230" s="1"/>
  <c r="G17" i="230"/>
  <c r="F17" i="230"/>
  <c r="G16" i="230"/>
  <c r="F16" i="230"/>
  <c r="G15" i="230"/>
  <c r="F15" i="230" s="1"/>
  <c r="G14" i="230"/>
  <c r="F14" i="230"/>
  <c r="G13" i="230"/>
  <c r="F13" i="230"/>
  <c r="G12" i="230"/>
  <c r="F12" i="230"/>
  <c r="G11" i="230"/>
  <c r="F11" i="230" s="1"/>
  <c r="G10" i="230"/>
  <c r="F10" i="230"/>
  <c r="G9" i="230"/>
  <c r="F9" i="230" s="1"/>
  <c r="G8" i="230"/>
  <c r="F8" i="230"/>
  <c r="G7" i="230"/>
  <c r="F7" i="230" s="1"/>
  <c r="G6" i="230"/>
  <c r="F6" i="230"/>
  <c r="AL21" i="359"/>
  <c r="AR21" i="376"/>
  <c r="AL21" i="376"/>
  <c r="AN21" i="379"/>
  <c r="AM21" i="379"/>
  <c r="AL21" i="379"/>
  <c r="AU21" i="379"/>
  <c r="AT21" i="379"/>
  <c r="AS21" i="379"/>
  <c r="AR21" i="379"/>
  <c r="AQ21" i="379"/>
  <c r="AP21" i="379"/>
  <c r="AO21" i="379"/>
  <c r="AU20" i="379"/>
  <c r="AT20" i="379"/>
  <c r="AS20" i="379"/>
  <c r="AR20" i="379"/>
  <c r="AQ20" i="379"/>
  <c r="AP20" i="379"/>
  <c r="AO20" i="379"/>
  <c r="AN20" i="379"/>
  <c r="AM20" i="379"/>
  <c r="AL20" i="379"/>
  <c r="AU21" i="378"/>
  <c r="AT21" i="378"/>
  <c r="AS21" i="378"/>
  <c r="AR21" i="378"/>
  <c r="AQ21" i="378"/>
  <c r="AP21" i="378"/>
  <c r="AO21" i="378"/>
  <c r="AN21" i="378"/>
  <c r="AM21" i="378"/>
  <c r="AL21" i="378"/>
  <c r="AU20" i="378"/>
  <c r="AT20" i="378"/>
  <c r="AS20" i="378"/>
  <c r="AR20" i="378"/>
  <c r="AQ20" i="378"/>
  <c r="AP20" i="378"/>
  <c r="AO20" i="378"/>
  <c r="AN20" i="378"/>
  <c r="AM20" i="378"/>
  <c r="AL20" i="378"/>
  <c r="AU21" i="377"/>
  <c r="AT21" i="377"/>
  <c r="AS21" i="377"/>
  <c r="AR21" i="377"/>
  <c r="AQ21" i="377"/>
  <c r="AP21" i="377"/>
  <c r="AO21" i="377"/>
  <c r="AN21" i="377"/>
  <c r="AM21" i="377"/>
  <c r="AL21" i="377"/>
  <c r="AU20" i="377"/>
  <c r="AT20" i="377"/>
  <c r="AS20" i="377"/>
  <c r="AR20" i="377"/>
  <c r="AQ20" i="377"/>
  <c r="AP20" i="377"/>
  <c r="AO20" i="377"/>
  <c r="AN20" i="377"/>
  <c r="AM20" i="377"/>
  <c r="AL20" i="377"/>
  <c r="AU21" i="376"/>
  <c r="AT21" i="376"/>
  <c r="AS21" i="376"/>
  <c r="AQ21" i="376"/>
  <c r="AP21" i="376"/>
  <c r="AO21" i="376"/>
  <c r="AN21" i="376"/>
  <c r="AM21" i="376"/>
  <c r="AU20" i="376"/>
  <c r="AT20" i="376"/>
  <c r="AS20" i="376"/>
  <c r="AR20" i="376"/>
  <c r="AQ20" i="376"/>
  <c r="AP20" i="376"/>
  <c r="AO20" i="376"/>
  <c r="AN20" i="376"/>
  <c r="AM20" i="376"/>
  <c r="AL20" i="376"/>
  <c r="AU21" i="375"/>
  <c r="AS21" i="375"/>
  <c r="AR21" i="375"/>
  <c r="AQ21" i="375"/>
  <c r="AP21" i="375"/>
  <c r="AO21" i="375"/>
  <c r="AN21" i="375"/>
  <c r="AM21" i="375"/>
  <c r="AL21" i="375"/>
  <c r="AU20" i="375"/>
  <c r="AT20" i="375"/>
  <c r="AS20" i="375"/>
  <c r="AR20" i="375"/>
  <c r="AQ20" i="375"/>
  <c r="AP20" i="375"/>
  <c r="AO20" i="375"/>
  <c r="AN20" i="375"/>
  <c r="AM20" i="375"/>
  <c r="AL20" i="375"/>
  <c r="AU21" i="374"/>
  <c r="AT21" i="374"/>
  <c r="AS21" i="374"/>
  <c r="AR21" i="374"/>
  <c r="AQ21" i="374"/>
  <c r="AP21" i="374"/>
  <c r="AO21" i="374"/>
  <c r="AN21" i="374"/>
  <c r="AM21" i="374"/>
  <c r="AL21" i="374"/>
  <c r="AU20" i="374"/>
  <c r="AT20" i="374"/>
  <c r="AS20" i="374"/>
  <c r="AR20" i="374"/>
  <c r="AQ20" i="374"/>
  <c r="AP20" i="374"/>
  <c r="AO20" i="374"/>
  <c r="AN20" i="374"/>
  <c r="AM20" i="374"/>
  <c r="AL20" i="374"/>
  <c r="AU21" i="373"/>
  <c r="AT21" i="373"/>
  <c r="AS21" i="373"/>
  <c r="AR21" i="373"/>
  <c r="AQ21" i="373"/>
  <c r="AP21" i="373"/>
  <c r="AO21" i="373"/>
  <c r="AN21" i="373"/>
  <c r="AM21" i="373"/>
  <c r="AL21" i="373"/>
  <c r="AU20" i="373"/>
  <c r="AT20" i="373"/>
  <c r="AS20" i="373"/>
  <c r="AR20" i="373"/>
  <c r="AQ20" i="373"/>
  <c r="AP20" i="373"/>
  <c r="AO20" i="373"/>
  <c r="AN20" i="373"/>
  <c r="AM20" i="373"/>
  <c r="AL20" i="373"/>
  <c r="AU21" i="372"/>
  <c r="AT21" i="372"/>
  <c r="AS21" i="372"/>
  <c r="AR21" i="372"/>
  <c r="AQ21" i="372"/>
  <c r="AP21" i="372"/>
  <c r="AO21" i="372"/>
  <c r="AN21" i="372"/>
  <c r="AM21" i="372"/>
  <c r="AL21" i="372"/>
  <c r="AU20" i="372"/>
  <c r="AT20" i="372"/>
  <c r="AS20" i="372"/>
  <c r="AR20" i="372"/>
  <c r="AQ20" i="372"/>
  <c r="AP20" i="372"/>
  <c r="AO20" i="372"/>
  <c r="AN20" i="372"/>
  <c r="AM20" i="372"/>
  <c r="AL20" i="372"/>
  <c r="AU21" i="371"/>
  <c r="AT21" i="371"/>
  <c r="AS21" i="371"/>
  <c r="AR21" i="371"/>
  <c r="AQ21" i="371"/>
  <c r="AP21" i="371"/>
  <c r="AO21" i="371"/>
  <c r="AN21" i="371"/>
  <c r="AM21" i="371"/>
  <c r="AL21" i="371"/>
  <c r="AU20" i="371"/>
  <c r="AT20" i="371"/>
  <c r="AS20" i="371"/>
  <c r="AR20" i="371"/>
  <c r="AQ20" i="371"/>
  <c r="AP20" i="371"/>
  <c r="AO20" i="371"/>
  <c r="AN20" i="371"/>
  <c r="AM20" i="371"/>
  <c r="AL20" i="371"/>
  <c r="AU21" i="370"/>
  <c r="AT21" i="370"/>
  <c r="AS21" i="370"/>
  <c r="AR21" i="370"/>
  <c r="AQ21" i="370"/>
  <c r="AP21" i="370"/>
  <c r="AO21" i="370"/>
  <c r="AN21" i="370"/>
  <c r="AM21" i="370"/>
  <c r="AL21" i="370"/>
  <c r="AU20" i="370"/>
  <c r="AT20" i="370"/>
  <c r="AS20" i="370"/>
  <c r="AR20" i="370"/>
  <c r="AQ20" i="370"/>
  <c r="AP20" i="370"/>
  <c r="AO20" i="370"/>
  <c r="AN20" i="370"/>
  <c r="AM20" i="370"/>
  <c r="AL20" i="370"/>
  <c r="AU21" i="369"/>
  <c r="AT21" i="369"/>
  <c r="AS21" i="369"/>
  <c r="AR21" i="369"/>
  <c r="AQ21" i="369"/>
  <c r="AP21" i="369"/>
  <c r="AO21" i="369"/>
  <c r="AN21" i="369"/>
  <c r="AM21" i="369"/>
  <c r="AL21" i="369"/>
  <c r="AU20" i="369"/>
  <c r="AT20" i="369"/>
  <c r="AS20" i="369"/>
  <c r="AR20" i="369"/>
  <c r="AQ20" i="369"/>
  <c r="AP20" i="369"/>
  <c r="AO20" i="369"/>
  <c r="AN20" i="369"/>
  <c r="AM20" i="369"/>
  <c r="AL20" i="369"/>
  <c r="AU21" i="368"/>
  <c r="AT21" i="368"/>
  <c r="AS21" i="368"/>
  <c r="AR21" i="368"/>
  <c r="AQ21" i="368"/>
  <c r="AP21" i="368"/>
  <c r="AO21" i="368"/>
  <c r="AN21" i="368"/>
  <c r="AM21" i="368"/>
  <c r="AL21" i="368"/>
  <c r="AU20" i="368"/>
  <c r="AT20" i="368"/>
  <c r="AS20" i="368"/>
  <c r="AR20" i="368"/>
  <c r="AQ20" i="368"/>
  <c r="AP20" i="368"/>
  <c r="AO20" i="368"/>
  <c r="AN20" i="368"/>
  <c r="AM20" i="368"/>
  <c r="AL20" i="368"/>
  <c r="AU21" i="367"/>
  <c r="AT21" i="367"/>
  <c r="AS21" i="367"/>
  <c r="AR21" i="367"/>
  <c r="AQ21" i="367"/>
  <c r="AP21" i="367"/>
  <c r="AO21" i="367"/>
  <c r="AN21" i="367"/>
  <c r="AM21" i="367"/>
  <c r="AL21" i="367"/>
  <c r="AU20" i="367"/>
  <c r="AT20" i="367"/>
  <c r="AS20" i="367"/>
  <c r="AR20" i="367"/>
  <c r="AQ20" i="367"/>
  <c r="AP20" i="367"/>
  <c r="AO20" i="367"/>
  <c r="AN20" i="367"/>
  <c r="AM20" i="367"/>
  <c r="AL20" i="367"/>
  <c r="AU21" i="366"/>
  <c r="AT21" i="366"/>
  <c r="AS21" i="366"/>
  <c r="AR21" i="366"/>
  <c r="AQ21" i="366"/>
  <c r="AP21" i="366"/>
  <c r="AO21" i="366"/>
  <c r="AN21" i="366"/>
  <c r="AM21" i="366"/>
  <c r="AL21" i="366"/>
  <c r="AU20" i="366"/>
  <c r="AT20" i="366"/>
  <c r="AS20" i="366"/>
  <c r="AR20" i="366"/>
  <c r="AQ20" i="366"/>
  <c r="AP20" i="366"/>
  <c r="AO20" i="366"/>
  <c r="AN20" i="366"/>
  <c r="AM20" i="366"/>
  <c r="AL20" i="366"/>
  <c r="AU21" i="365"/>
  <c r="AT21" i="365"/>
  <c r="AS21" i="365"/>
  <c r="AR21" i="365"/>
  <c r="AQ21" i="365"/>
  <c r="AP21" i="365"/>
  <c r="AO21" i="365"/>
  <c r="AN21" i="365"/>
  <c r="AM21" i="365"/>
  <c r="AL21" i="365"/>
  <c r="AU20" i="365"/>
  <c r="AT20" i="365"/>
  <c r="AS20" i="365"/>
  <c r="AR20" i="365"/>
  <c r="AQ20" i="365"/>
  <c r="AP20" i="365"/>
  <c r="AO20" i="365"/>
  <c r="AN20" i="365"/>
  <c r="AM20" i="365"/>
  <c r="AL20" i="365"/>
  <c r="AU21" i="364"/>
  <c r="AT21" i="364"/>
  <c r="AS21" i="364"/>
  <c r="AR21" i="364"/>
  <c r="AQ21" i="364"/>
  <c r="AP21" i="364"/>
  <c r="AO21" i="364"/>
  <c r="AN21" i="364"/>
  <c r="AM21" i="364"/>
  <c r="AL21" i="364"/>
  <c r="AU20" i="364"/>
  <c r="AT20" i="364"/>
  <c r="AS20" i="364"/>
  <c r="AR20" i="364"/>
  <c r="AQ20" i="364"/>
  <c r="AP20" i="364"/>
  <c r="AO20" i="364"/>
  <c r="AN20" i="364"/>
  <c r="AM20" i="364"/>
  <c r="AL20" i="364"/>
  <c r="AU21" i="363"/>
  <c r="AT21" i="363"/>
  <c r="AS21" i="363"/>
  <c r="AR21" i="363"/>
  <c r="AQ21" i="363"/>
  <c r="AP21" i="363"/>
  <c r="AO21" i="363"/>
  <c r="AN21" i="363"/>
  <c r="AM21" i="363"/>
  <c r="AL21" i="363"/>
  <c r="AU20" i="363"/>
  <c r="AT20" i="363"/>
  <c r="AS20" i="363"/>
  <c r="AR20" i="363"/>
  <c r="AQ20" i="363"/>
  <c r="AP20" i="363"/>
  <c r="AO20" i="363"/>
  <c r="AN20" i="363"/>
  <c r="AM20" i="363"/>
  <c r="AL20" i="363"/>
  <c r="AU21" i="362"/>
  <c r="AT21" i="362"/>
  <c r="AS21" i="362"/>
  <c r="AR21" i="362"/>
  <c r="AQ21" i="362"/>
  <c r="AP21" i="362"/>
  <c r="AO21" i="362"/>
  <c r="AN21" i="362"/>
  <c r="AM21" i="362"/>
  <c r="AL21" i="362"/>
  <c r="AU20" i="362"/>
  <c r="AT20" i="362"/>
  <c r="AS20" i="362"/>
  <c r="AR20" i="362"/>
  <c r="AQ20" i="362"/>
  <c r="AP20" i="362"/>
  <c r="AO20" i="362"/>
  <c r="AN20" i="362"/>
  <c r="AM20" i="362"/>
  <c r="AL20" i="362"/>
  <c r="AU21" i="361"/>
  <c r="AT21" i="361"/>
  <c r="AS21" i="361"/>
  <c r="AR21" i="361"/>
  <c r="AQ21" i="361"/>
  <c r="AP21" i="361"/>
  <c r="AO21" i="361"/>
  <c r="AN21" i="361"/>
  <c r="AM21" i="361"/>
  <c r="AL21" i="361"/>
  <c r="AU20" i="361"/>
  <c r="AT20" i="361"/>
  <c r="AS20" i="361"/>
  <c r="AR20" i="361"/>
  <c r="AQ20" i="361"/>
  <c r="AP20" i="361"/>
  <c r="AO20" i="361"/>
  <c r="AN20" i="361"/>
  <c r="AM20" i="361"/>
  <c r="AL20" i="361"/>
  <c r="AU21" i="360"/>
  <c r="AT21" i="360"/>
  <c r="AS21" i="360"/>
  <c r="AR21" i="360"/>
  <c r="AQ21" i="360"/>
  <c r="AP21" i="360"/>
  <c r="AO21" i="360"/>
  <c r="AN21" i="360"/>
  <c r="AM21" i="360"/>
  <c r="AL21" i="360"/>
  <c r="AU20" i="360"/>
  <c r="AT20" i="360"/>
  <c r="AS20" i="360"/>
  <c r="AR20" i="360"/>
  <c r="AQ20" i="360"/>
  <c r="AP20" i="360"/>
  <c r="AO20" i="360"/>
  <c r="AN20" i="360"/>
  <c r="AM20" i="360"/>
  <c r="AL20" i="360"/>
  <c r="AU21" i="359"/>
  <c r="AT21" i="359"/>
  <c r="AS21" i="359"/>
  <c r="AR21" i="359"/>
  <c r="AQ21" i="359"/>
  <c r="AP21" i="359"/>
  <c r="AO21" i="359"/>
  <c r="AN21" i="359"/>
  <c r="AM21" i="359"/>
  <c r="AU20" i="359"/>
  <c r="AT20" i="359"/>
  <c r="AS20" i="359"/>
  <c r="AR20" i="359"/>
  <c r="AQ20" i="359"/>
  <c r="AP20" i="359"/>
  <c r="AO20" i="359"/>
  <c r="AN20" i="359"/>
  <c r="AM20" i="359"/>
  <c r="AL20" i="359"/>
  <c r="AU21" i="358"/>
  <c r="AT21" i="358"/>
  <c r="AS21" i="358"/>
  <c r="AR21" i="358"/>
  <c r="AQ21" i="358"/>
  <c r="AP21" i="358"/>
  <c r="AO21" i="358"/>
  <c r="AN21" i="358"/>
  <c r="AM21" i="358"/>
  <c r="AL21" i="358"/>
  <c r="AU20" i="358"/>
  <c r="AT20" i="358"/>
  <c r="AS20" i="358"/>
  <c r="AR20" i="358"/>
  <c r="AQ20" i="358"/>
  <c r="AP20" i="358"/>
  <c r="AO20" i="358"/>
  <c r="AN20" i="358"/>
  <c r="AM20" i="358"/>
  <c r="AL20" i="358"/>
  <c r="AU21" i="357"/>
  <c r="AT21" i="357"/>
  <c r="AS21" i="357"/>
  <c r="AR21" i="357"/>
  <c r="AQ21" i="357"/>
  <c r="AP21" i="357"/>
  <c r="AO21" i="357"/>
  <c r="AN21" i="357"/>
  <c r="AM21" i="357"/>
  <c r="AL21" i="357"/>
  <c r="AU20" i="357"/>
  <c r="AT20" i="357"/>
  <c r="AS20" i="357"/>
  <c r="AR20" i="357"/>
  <c r="AQ20" i="357"/>
  <c r="AP20" i="357"/>
  <c r="AO20" i="357"/>
  <c r="AN20" i="357"/>
  <c r="AM20" i="357"/>
  <c r="AL20" i="357"/>
  <c r="AU21" i="351"/>
  <c r="AT21" i="351"/>
  <c r="AS21" i="351"/>
  <c r="AR21" i="351"/>
  <c r="AQ21" i="351"/>
  <c r="AP21" i="351"/>
  <c r="AO21" i="351"/>
  <c r="AN21" i="351"/>
  <c r="AM21" i="351"/>
  <c r="AL21" i="351"/>
  <c r="AU20" i="351"/>
  <c r="AT20" i="351"/>
  <c r="AS20" i="351"/>
  <c r="AR20" i="351"/>
  <c r="AQ20" i="351"/>
  <c r="AP20" i="351"/>
  <c r="AO20" i="351"/>
  <c r="AN20" i="351"/>
  <c r="AM20" i="351"/>
  <c r="AL20" i="351"/>
  <c r="AU21" i="356"/>
  <c r="AT21" i="356"/>
  <c r="AS21" i="356"/>
  <c r="AR21" i="356"/>
  <c r="AQ21" i="356"/>
  <c r="AP21" i="356"/>
  <c r="AO21" i="356"/>
  <c r="AN21" i="356"/>
  <c r="AM21" i="356"/>
  <c r="AL21" i="356"/>
  <c r="AU20" i="356"/>
  <c r="AT20" i="356"/>
  <c r="AS20" i="356"/>
  <c r="AR20" i="356"/>
  <c r="AQ20" i="356"/>
  <c r="AP20" i="356"/>
  <c r="AO20" i="356"/>
  <c r="AN20" i="356"/>
  <c r="AM20" i="356"/>
  <c r="AL20" i="356"/>
  <c r="AU21" i="355"/>
  <c r="AT21" i="355"/>
  <c r="AS21" i="355"/>
  <c r="AR21" i="355"/>
  <c r="AQ21" i="355"/>
  <c r="AP21" i="355"/>
  <c r="AO21" i="355"/>
  <c r="AN21" i="355"/>
  <c r="AM21" i="355"/>
  <c r="AL21" i="355"/>
  <c r="AU20" i="355"/>
  <c r="AT20" i="355"/>
  <c r="AS20" i="355"/>
  <c r="AR20" i="355"/>
  <c r="AQ20" i="355"/>
  <c r="AP20" i="355"/>
  <c r="AO20" i="355"/>
  <c r="AN20" i="355"/>
  <c r="AM20" i="355"/>
  <c r="AL20" i="355"/>
  <c r="AU21" i="354"/>
  <c r="AT21" i="354"/>
  <c r="AS21" i="354"/>
  <c r="AR21" i="354"/>
  <c r="AQ21" i="354"/>
  <c r="AP21" i="354"/>
  <c r="AO21" i="354"/>
  <c r="AN21" i="354"/>
  <c r="AM21" i="354"/>
  <c r="AL21" i="354"/>
  <c r="AU20" i="354"/>
  <c r="AT20" i="354"/>
  <c r="AS20" i="354"/>
  <c r="AR20" i="354"/>
  <c r="AQ20" i="354"/>
  <c r="AP20" i="354"/>
  <c r="AO20" i="354"/>
  <c r="AN20" i="354"/>
  <c r="AM20" i="354"/>
  <c r="AL20" i="354"/>
  <c r="AU21" i="353"/>
  <c r="AT21" i="353"/>
  <c r="AS21" i="353"/>
  <c r="AR21" i="353"/>
  <c r="AQ21" i="353"/>
  <c r="AP21" i="353"/>
  <c r="AO21" i="353"/>
  <c r="AN21" i="353"/>
  <c r="AM21" i="353"/>
  <c r="AL21" i="353"/>
  <c r="AU20" i="353"/>
  <c r="AT20" i="353"/>
  <c r="AS20" i="353"/>
  <c r="AR20" i="353"/>
  <c r="AQ20" i="353"/>
  <c r="AP20" i="353"/>
  <c r="AO20" i="353"/>
  <c r="AN20" i="353"/>
  <c r="AM20" i="353"/>
  <c r="AL20" i="353"/>
  <c r="AU21" i="352"/>
  <c r="AT21" i="352"/>
  <c r="AS21" i="352"/>
  <c r="AR21" i="352"/>
  <c r="AQ21" i="352"/>
  <c r="AP21" i="352"/>
  <c r="AO21" i="352"/>
  <c r="AN21" i="352"/>
  <c r="AM21" i="352"/>
  <c r="AL21" i="352"/>
  <c r="AU20" i="352"/>
  <c r="AT20" i="352"/>
  <c r="AS20" i="352"/>
  <c r="AR20" i="352"/>
  <c r="AQ20" i="352"/>
  <c r="AP20" i="352"/>
  <c r="AO20" i="352"/>
  <c r="AN20" i="352"/>
  <c r="AM20" i="352"/>
  <c r="AL20" i="352"/>
  <c r="AU21" i="230"/>
  <c r="AT21" i="230"/>
  <c r="AS21" i="230"/>
  <c r="AR21" i="230"/>
  <c r="AQ21" i="230"/>
  <c r="AP21" i="230"/>
  <c r="AO21" i="230"/>
  <c r="AN21" i="230"/>
  <c r="AM21" i="230"/>
  <c r="AL21" i="230"/>
  <c r="AU20" i="230"/>
  <c r="AT20" i="230"/>
  <c r="AS20" i="230"/>
  <c r="AR20" i="230"/>
  <c r="AQ20" i="230"/>
  <c r="AP20" i="230"/>
  <c r="AO20" i="230"/>
  <c r="AN20" i="230"/>
  <c r="AM20" i="230"/>
  <c r="AL20" i="230"/>
  <c r="AN21" i="380"/>
  <c r="AM21" i="380"/>
  <c r="AL21" i="380"/>
  <c r="AL20" i="380"/>
  <c r="G19" i="380"/>
  <c r="G18" i="380"/>
  <c r="G17" i="380"/>
  <c r="G16" i="380"/>
  <c r="G15" i="380"/>
  <c r="G14" i="380"/>
  <c r="G13" i="380"/>
  <c r="G12" i="380"/>
  <c r="G11" i="380"/>
  <c r="G10" i="380"/>
  <c r="G9" i="380"/>
  <c r="G8" i="380"/>
  <c r="G7" i="380"/>
  <c r="G6" i="380"/>
  <c r="AM20" i="380"/>
  <c r="AN20" i="380"/>
  <c r="AO20" i="380"/>
  <c r="AP20" i="380"/>
  <c r="AQ20" i="380"/>
  <c r="AR20" i="380"/>
  <c r="AS20" i="380"/>
  <c r="AT20" i="380"/>
  <c r="AU20" i="380"/>
  <c r="AO21" i="380"/>
  <c r="AP21" i="380"/>
  <c r="AQ21" i="380"/>
  <c r="AR21" i="380"/>
  <c r="AS21" i="380"/>
  <c r="AT21" i="380"/>
  <c r="AU21" i="380"/>
  <c r="G20" i="381" l="1"/>
  <c r="F20" i="381"/>
  <c r="G20" i="380"/>
  <c r="F15" i="378"/>
  <c r="F20" i="378" s="1"/>
  <c r="F20" i="379"/>
  <c r="G47" i="339"/>
  <c r="G26" i="339"/>
  <c r="F68" i="339" s="1"/>
  <c r="F19" i="339" l="1"/>
  <c r="F18" i="339"/>
  <c r="F17" i="339"/>
  <c r="F16" i="339"/>
  <c r="F15" i="339"/>
  <c r="F14" i="339"/>
  <c r="F13" i="339"/>
  <c r="F12" i="339"/>
  <c r="F11" i="339"/>
  <c r="E11" i="339" s="1"/>
  <c r="F10" i="339"/>
  <c r="E10" i="339" s="1"/>
  <c r="F9" i="339"/>
  <c r="E9" i="339" s="1"/>
  <c r="F8" i="339"/>
  <c r="E8" i="339" s="1"/>
  <c r="F7" i="339"/>
  <c r="E7" i="339" s="1"/>
  <c r="F6" i="339"/>
  <c r="E6" i="339" s="1"/>
  <c r="F40" i="339"/>
  <c r="F39" i="339"/>
  <c r="F38" i="339"/>
  <c r="F37" i="339"/>
  <c r="F36" i="339"/>
  <c r="F35" i="339"/>
  <c r="F34" i="339"/>
  <c r="F33" i="339"/>
  <c r="F32" i="339"/>
  <c r="F31" i="339"/>
  <c r="F30" i="339"/>
  <c r="F29" i="339"/>
  <c r="F28" i="339"/>
  <c r="F27" i="339"/>
  <c r="G63" i="339"/>
  <c r="G62" i="339"/>
  <c r="F61" i="339"/>
  <c r="F60" i="339"/>
  <c r="F59" i="339"/>
  <c r="F58" i="339"/>
  <c r="F57" i="339"/>
  <c r="F56" i="339"/>
  <c r="F55" i="339"/>
  <c r="F54" i="339"/>
  <c r="F53" i="339"/>
  <c r="F52" i="339"/>
  <c r="F51" i="339"/>
  <c r="F50" i="339"/>
  <c r="F49" i="339"/>
  <c r="F48" i="339"/>
  <c r="F41" i="339" l="1"/>
  <c r="F63" i="339"/>
  <c r="F21" i="339"/>
  <c r="F62" i="339"/>
  <c r="F20" i="339"/>
  <c r="G20" i="339"/>
  <c r="G41" i="339"/>
  <c r="G42" i="339"/>
  <c r="M7" i="47" l="1"/>
  <c r="N7" i="47"/>
  <c r="O7" i="47"/>
  <c r="P7" i="47"/>
  <c r="Q7" i="47"/>
  <c r="R7" i="47"/>
  <c r="S7" i="47"/>
  <c r="T7" i="47"/>
  <c r="U7" i="47"/>
  <c r="V7" i="47"/>
  <c r="W7" i="47"/>
  <c r="X7" i="47"/>
  <c r="Y7" i="47"/>
  <c r="Z7" i="47"/>
  <c r="AA7" i="47"/>
  <c r="AB7" i="47"/>
  <c r="AC7" i="47"/>
  <c r="AD7" i="47"/>
  <c r="AE7" i="47"/>
  <c r="AF7" i="47"/>
  <c r="AG7" i="47"/>
  <c r="AH7" i="47"/>
  <c r="AI7" i="47"/>
  <c r="AJ7" i="47"/>
  <c r="AK7" i="47"/>
  <c r="AL7" i="47"/>
  <c r="AM7" i="47"/>
  <c r="AN7" i="47"/>
  <c r="AO7" i="47"/>
  <c r="M8" i="47"/>
  <c r="N8" i="47"/>
  <c r="O8" i="47"/>
  <c r="P8" i="47"/>
  <c r="Q8" i="47"/>
  <c r="R8" i="47"/>
  <c r="S8" i="47"/>
  <c r="T8" i="47"/>
  <c r="U8" i="47"/>
  <c r="V8" i="47"/>
  <c r="W8" i="47"/>
  <c r="X8" i="47"/>
  <c r="Y8" i="47"/>
  <c r="Z8" i="47"/>
  <c r="AA8" i="47"/>
  <c r="AB8" i="47"/>
  <c r="AC8" i="47"/>
  <c r="AD8" i="47"/>
  <c r="AE8" i="47"/>
  <c r="AF8" i="47"/>
  <c r="AG8" i="47"/>
  <c r="AH8" i="47"/>
  <c r="AI8" i="47"/>
  <c r="AJ8" i="47"/>
  <c r="AK8" i="47"/>
  <c r="AL8" i="47"/>
  <c r="AM8" i="47"/>
  <c r="AN8" i="47"/>
  <c r="AO8" i="47"/>
  <c r="M9" i="47"/>
  <c r="N9" i="47"/>
  <c r="O9" i="47"/>
  <c r="P9" i="47"/>
  <c r="Q9" i="47"/>
  <c r="R9" i="47"/>
  <c r="S9" i="47"/>
  <c r="T9" i="47"/>
  <c r="U9" i="47"/>
  <c r="V9" i="47"/>
  <c r="W9" i="47"/>
  <c r="X9" i="47"/>
  <c r="Y9" i="47"/>
  <c r="Z9" i="47"/>
  <c r="AA9" i="47"/>
  <c r="AB9" i="47"/>
  <c r="AC9" i="47"/>
  <c r="AD9" i="47"/>
  <c r="AE9" i="47"/>
  <c r="AF9" i="47"/>
  <c r="AG9" i="47"/>
  <c r="AH9" i="47"/>
  <c r="AI9" i="47"/>
  <c r="AJ9" i="47"/>
  <c r="AK9" i="47"/>
  <c r="AL9" i="47"/>
  <c r="AM9" i="47"/>
  <c r="AN9" i="47"/>
  <c r="AO9" i="47"/>
  <c r="M10" i="47"/>
  <c r="N10" i="47"/>
  <c r="O10" i="47"/>
  <c r="P10" i="47"/>
  <c r="Q10" i="47"/>
  <c r="R10" i="47"/>
  <c r="S10" i="47"/>
  <c r="T10" i="47"/>
  <c r="U10" i="47"/>
  <c r="V10" i="47"/>
  <c r="W10" i="47"/>
  <c r="X10" i="47"/>
  <c r="Y10" i="47"/>
  <c r="Z10" i="47"/>
  <c r="AA10" i="47"/>
  <c r="AB10" i="47"/>
  <c r="AC10" i="47"/>
  <c r="AD10" i="47"/>
  <c r="AE10" i="47"/>
  <c r="AF10" i="47"/>
  <c r="AG10" i="47"/>
  <c r="AH10" i="47"/>
  <c r="AI10" i="47"/>
  <c r="AJ10" i="47"/>
  <c r="AK10" i="47"/>
  <c r="AL10" i="47"/>
  <c r="AM10" i="47"/>
  <c r="AN10" i="47"/>
  <c r="AO10" i="47"/>
  <c r="M11" i="47"/>
  <c r="N11" i="47"/>
  <c r="O11" i="47"/>
  <c r="P11" i="47"/>
  <c r="Q11" i="47"/>
  <c r="R11" i="47"/>
  <c r="S11" i="47"/>
  <c r="T11" i="47"/>
  <c r="U11" i="47"/>
  <c r="V11" i="47"/>
  <c r="W11" i="47"/>
  <c r="X11" i="47"/>
  <c r="Y11" i="47"/>
  <c r="Z11" i="47"/>
  <c r="AA11" i="47"/>
  <c r="AB11" i="47"/>
  <c r="AC11" i="47"/>
  <c r="AD11" i="47"/>
  <c r="AE11" i="47"/>
  <c r="AF11" i="47"/>
  <c r="AG11" i="47"/>
  <c r="AH11" i="47"/>
  <c r="AI11" i="47"/>
  <c r="AJ11" i="47"/>
  <c r="AK11" i="47"/>
  <c r="AL11" i="47"/>
  <c r="AM11" i="47"/>
  <c r="AN11" i="47"/>
  <c r="AO11" i="47"/>
  <c r="M12" i="47"/>
  <c r="N12" i="47"/>
  <c r="O12" i="47"/>
  <c r="P12" i="47"/>
  <c r="Q12" i="47"/>
  <c r="R12" i="47"/>
  <c r="S12" i="47"/>
  <c r="T12" i="47"/>
  <c r="U12" i="47"/>
  <c r="V12" i="47"/>
  <c r="W12" i="47"/>
  <c r="X12" i="47"/>
  <c r="Y12" i="47"/>
  <c r="Z12" i="47"/>
  <c r="AA12" i="47"/>
  <c r="AB12" i="47"/>
  <c r="AC12" i="47"/>
  <c r="AD12" i="47"/>
  <c r="AE12" i="47"/>
  <c r="AF12" i="47"/>
  <c r="AG12" i="47"/>
  <c r="AH12" i="47"/>
  <c r="AI12" i="47"/>
  <c r="AJ12" i="47"/>
  <c r="AK12" i="47"/>
  <c r="AL12" i="47"/>
  <c r="AM12" i="47"/>
  <c r="AN12" i="47"/>
  <c r="AO12" i="47"/>
  <c r="M13" i="47"/>
  <c r="N13" i="47"/>
  <c r="O13" i="47"/>
  <c r="P13" i="47"/>
  <c r="Q13" i="47"/>
  <c r="R13" i="47"/>
  <c r="S13" i="47"/>
  <c r="T13" i="47"/>
  <c r="U13" i="47"/>
  <c r="V13" i="47"/>
  <c r="W13" i="47"/>
  <c r="X13" i="47"/>
  <c r="Y13" i="47"/>
  <c r="Z13" i="47"/>
  <c r="AA13" i="47"/>
  <c r="AB13" i="47"/>
  <c r="AC13" i="47"/>
  <c r="AD13" i="47"/>
  <c r="AE13" i="47"/>
  <c r="AF13" i="47"/>
  <c r="AG13" i="47"/>
  <c r="AH13" i="47"/>
  <c r="AI13" i="47"/>
  <c r="AJ13" i="47"/>
  <c r="AK13" i="47"/>
  <c r="AL13" i="47"/>
  <c r="AM13" i="47"/>
  <c r="AN13" i="47"/>
  <c r="AO13" i="47"/>
  <c r="M14" i="47"/>
  <c r="N14" i="47"/>
  <c r="O14" i="47"/>
  <c r="P14" i="47"/>
  <c r="Q14" i="47"/>
  <c r="R14" i="47"/>
  <c r="S14" i="47"/>
  <c r="T14" i="47"/>
  <c r="U14" i="47"/>
  <c r="V14" i="47"/>
  <c r="W14" i="47"/>
  <c r="X14" i="47"/>
  <c r="Y14" i="47"/>
  <c r="Z14" i="47"/>
  <c r="AA14" i="47"/>
  <c r="AB14" i="47"/>
  <c r="AC14" i="47"/>
  <c r="AD14" i="47"/>
  <c r="AE14" i="47"/>
  <c r="AF14" i="47"/>
  <c r="AG14" i="47"/>
  <c r="AH14" i="47"/>
  <c r="AI14" i="47"/>
  <c r="AJ14" i="47"/>
  <c r="AK14" i="47"/>
  <c r="AL14" i="47"/>
  <c r="AM14" i="47"/>
  <c r="AN14" i="47"/>
  <c r="AO14" i="47"/>
  <c r="M15" i="47"/>
  <c r="N15" i="47"/>
  <c r="O15" i="47"/>
  <c r="P15" i="47"/>
  <c r="Q15" i="47"/>
  <c r="R15" i="47"/>
  <c r="S15" i="47"/>
  <c r="T15" i="47"/>
  <c r="U15" i="47"/>
  <c r="V15" i="47"/>
  <c r="W15" i="47"/>
  <c r="X15" i="47"/>
  <c r="Y15" i="47"/>
  <c r="Z15" i="47"/>
  <c r="AA15" i="47"/>
  <c r="AB15" i="47"/>
  <c r="AC15" i="47"/>
  <c r="AD15" i="47"/>
  <c r="AE15" i="47"/>
  <c r="AF15" i="47"/>
  <c r="AG15" i="47"/>
  <c r="AH15" i="47"/>
  <c r="AI15" i="47"/>
  <c r="AJ15" i="47"/>
  <c r="AK15" i="47"/>
  <c r="AL15" i="47"/>
  <c r="AM15" i="47"/>
  <c r="AN15" i="47"/>
  <c r="AO15" i="47"/>
  <c r="M16" i="47"/>
  <c r="N16" i="47"/>
  <c r="O16" i="47"/>
  <c r="P16" i="47"/>
  <c r="Q16" i="47"/>
  <c r="R16" i="47"/>
  <c r="S16" i="47"/>
  <c r="T16" i="47"/>
  <c r="U16" i="47"/>
  <c r="V16" i="47"/>
  <c r="W16" i="47"/>
  <c r="X16" i="47"/>
  <c r="Y16" i="47"/>
  <c r="Z16" i="47"/>
  <c r="AA16" i="47"/>
  <c r="AB16" i="47"/>
  <c r="AC16" i="47"/>
  <c r="AD16" i="47"/>
  <c r="AE16" i="47"/>
  <c r="AF16" i="47"/>
  <c r="AG16" i="47"/>
  <c r="AH16" i="47"/>
  <c r="AI16" i="47"/>
  <c r="AJ16" i="47"/>
  <c r="AK16" i="47"/>
  <c r="AL16" i="47"/>
  <c r="AM16" i="47"/>
  <c r="AN16" i="47"/>
  <c r="AO16" i="47"/>
  <c r="M17" i="47"/>
  <c r="N17" i="47"/>
  <c r="O17" i="47"/>
  <c r="P17" i="47"/>
  <c r="Q17" i="47"/>
  <c r="R17" i="47"/>
  <c r="S17" i="47"/>
  <c r="T17" i="47"/>
  <c r="U17" i="47"/>
  <c r="V17" i="47"/>
  <c r="W17" i="47"/>
  <c r="X17" i="47"/>
  <c r="Y17" i="47"/>
  <c r="Z17" i="47"/>
  <c r="AA17" i="47"/>
  <c r="AB17" i="47"/>
  <c r="AC17" i="47"/>
  <c r="AD17" i="47"/>
  <c r="AE17" i="47"/>
  <c r="AF17" i="47"/>
  <c r="AG17" i="47"/>
  <c r="AH17" i="47"/>
  <c r="AI17" i="47"/>
  <c r="AJ17" i="47"/>
  <c r="AK17" i="47"/>
  <c r="AL17" i="47"/>
  <c r="AM17" i="47"/>
  <c r="AN17" i="47"/>
  <c r="AO17" i="47"/>
  <c r="M18" i="47"/>
  <c r="N18" i="47"/>
  <c r="O18" i="47"/>
  <c r="P18" i="47"/>
  <c r="Q18" i="47"/>
  <c r="R18" i="47"/>
  <c r="S18" i="47"/>
  <c r="T18" i="47"/>
  <c r="U18" i="47"/>
  <c r="V18" i="47"/>
  <c r="W18" i="47"/>
  <c r="X18" i="47"/>
  <c r="Y18" i="47"/>
  <c r="Z18" i="47"/>
  <c r="AA18" i="47"/>
  <c r="AB18" i="47"/>
  <c r="AC18" i="47"/>
  <c r="AD18" i="47"/>
  <c r="AE18" i="47"/>
  <c r="AF18" i="47"/>
  <c r="AG18" i="47"/>
  <c r="AH18" i="47"/>
  <c r="AI18" i="47"/>
  <c r="AJ18" i="47"/>
  <c r="AK18" i="47"/>
  <c r="AL18" i="47"/>
  <c r="AM18" i="47"/>
  <c r="AN18" i="47"/>
  <c r="AO18" i="47"/>
  <c r="M19" i="47"/>
  <c r="N19" i="47"/>
  <c r="O19" i="47"/>
  <c r="P19" i="47"/>
  <c r="Q19" i="47"/>
  <c r="R19" i="47"/>
  <c r="S19" i="47"/>
  <c r="T19" i="47"/>
  <c r="U19" i="47"/>
  <c r="V19" i="47"/>
  <c r="W19" i="47"/>
  <c r="X19" i="47"/>
  <c r="Y19" i="47"/>
  <c r="Z19" i="47"/>
  <c r="AA19" i="47"/>
  <c r="AB19" i="47"/>
  <c r="AC19" i="47"/>
  <c r="AD19" i="47"/>
  <c r="AE19" i="47"/>
  <c r="AF19" i="47"/>
  <c r="AG19" i="47"/>
  <c r="AH19" i="47"/>
  <c r="AI19" i="47"/>
  <c r="AJ19" i="47"/>
  <c r="AK19" i="47"/>
  <c r="AL19" i="47"/>
  <c r="AM19" i="47"/>
  <c r="AN19" i="47"/>
  <c r="AO19" i="47"/>
  <c r="AO6" i="47"/>
  <c r="AN6" i="47"/>
  <c r="AM6" i="47"/>
  <c r="AL6" i="47"/>
  <c r="AK6" i="47"/>
  <c r="AJ6" i="47"/>
  <c r="AI6" i="47"/>
  <c r="AH6" i="47"/>
  <c r="AG6" i="47"/>
  <c r="AC6" i="47"/>
  <c r="AB6" i="47"/>
  <c r="AF6" i="47"/>
  <c r="AE6" i="47"/>
  <c r="AD6" i="47"/>
  <c r="AA6" i="47"/>
  <c r="Z6" i="47"/>
  <c r="Y6" i="47"/>
  <c r="X6" i="47"/>
  <c r="W6" i="47"/>
  <c r="V6" i="47"/>
  <c r="U6" i="47"/>
  <c r="T6" i="47"/>
  <c r="S6" i="47"/>
  <c r="R6" i="47"/>
  <c r="Q6" i="47"/>
  <c r="P6" i="47"/>
  <c r="O6" i="47"/>
  <c r="N6" i="47"/>
  <c r="M6" i="47"/>
  <c r="L6" i="47"/>
  <c r="AK21" i="380"/>
  <c r="AJ21" i="380"/>
  <c r="AI21" i="380"/>
  <c r="AH21" i="380"/>
  <c r="AG21" i="380"/>
  <c r="AF21" i="380"/>
  <c r="AE21" i="380"/>
  <c r="AD21" i="380"/>
  <c r="AC21" i="380"/>
  <c r="AB21" i="380"/>
  <c r="AA21" i="380"/>
  <c r="Z21" i="380"/>
  <c r="Y21" i="380"/>
  <c r="X21" i="380"/>
  <c r="W21" i="380"/>
  <c r="V21" i="380"/>
  <c r="U21" i="380"/>
  <c r="T21" i="380"/>
  <c r="S21" i="380"/>
  <c r="R21" i="380"/>
  <c r="Q21" i="380"/>
  <c r="P21" i="380"/>
  <c r="O21" i="380"/>
  <c r="N21" i="380"/>
  <c r="M21" i="380"/>
  <c r="L21" i="380"/>
  <c r="K21" i="380"/>
  <c r="J21" i="380"/>
  <c r="I21" i="380"/>
  <c r="H21" i="380"/>
  <c r="AK20" i="380"/>
  <c r="AJ20" i="380"/>
  <c r="AI20" i="380"/>
  <c r="AH20" i="380"/>
  <c r="AG20" i="380"/>
  <c r="AF20" i="380"/>
  <c r="AE20" i="380"/>
  <c r="AD20" i="380"/>
  <c r="AC20" i="380"/>
  <c r="AB20" i="380"/>
  <c r="AA20" i="380"/>
  <c r="Z20" i="380"/>
  <c r="Y20" i="380"/>
  <c r="X20" i="380"/>
  <c r="W20" i="380"/>
  <c r="V20" i="380"/>
  <c r="U20" i="380"/>
  <c r="T20" i="380"/>
  <c r="S20" i="380"/>
  <c r="R20" i="380"/>
  <c r="Q20" i="380"/>
  <c r="P20" i="380"/>
  <c r="O20" i="380"/>
  <c r="N20" i="380"/>
  <c r="M20" i="380"/>
  <c r="L20" i="380"/>
  <c r="K20" i="380"/>
  <c r="J20" i="380"/>
  <c r="I20" i="380"/>
  <c r="H20" i="380"/>
  <c r="E20" i="380"/>
  <c r="AK21" i="379"/>
  <c r="AJ21" i="379"/>
  <c r="AI21" i="379"/>
  <c r="AH21" i="379"/>
  <c r="AG21" i="379"/>
  <c r="AF21" i="379"/>
  <c r="AE21" i="379"/>
  <c r="AD21" i="379"/>
  <c r="AC21" i="379"/>
  <c r="AB21" i="379"/>
  <c r="AA21" i="379"/>
  <c r="Z21" i="379"/>
  <c r="Y21" i="379"/>
  <c r="X21" i="379"/>
  <c r="W21" i="379"/>
  <c r="V21" i="379"/>
  <c r="U21" i="379"/>
  <c r="T21" i="379"/>
  <c r="S21" i="379"/>
  <c r="R21" i="379"/>
  <c r="Q21" i="379"/>
  <c r="P21" i="379"/>
  <c r="O21" i="379"/>
  <c r="N21" i="379"/>
  <c r="M21" i="379"/>
  <c r="L21" i="379"/>
  <c r="K21" i="379"/>
  <c r="J21" i="379"/>
  <c r="I21" i="379"/>
  <c r="H21" i="379"/>
  <c r="AK20" i="379"/>
  <c r="AJ20" i="379"/>
  <c r="AI20" i="379"/>
  <c r="AH20" i="379"/>
  <c r="AG20" i="379"/>
  <c r="AF20" i="379"/>
  <c r="AE20" i="379"/>
  <c r="AD20" i="379"/>
  <c r="AC20" i="379"/>
  <c r="AB20" i="379"/>
  <c r="AA20" i="379"/>
  <c r="Z20" i="379"/>
  <c r="Y20" i="379"/>
  <c r="X20" i="379"/>
  <c r="W20" i="379"/>
  <c r="V20" i="379"/>
  <c r="U20" i="379"/>
  <c r="T20" i="379"/>
  <c r="S20" i="379"/>
  <c r="R20" i="379"/>
  <c r="Q20" i="379"/>
  <c r="P20" i="379"/>
  <c r="O20" i="379"/>
  <c r="N20" i="379"/>
  <c r="M20" i="379"/>
  <c r="L20" i="379"/>
  <c r="K20" i="379"/>
  <c r="J20" i="379"/>
  <c r="I20" i="379"/>
  <c r="H20" i="379"/>
  <c r="E20" i="379"/>
  <c r="AK21" i="378"/>
  <c r="AJ21" i="378"/>
  <c r="AI21" i="378"/>
  <c r="AH21" i="378"/>
  <c r="AG21" i="378"/>
  <c r="AF21" i="378"/>
  <c r="AE21" i="378"/>
  <c r="AD21" i="378"/>
  <c r="AC21" i="378"/>
  <c r="AB21" i="378"/>
  <c r="AA21" i="378"/>
  <c r="Z21" i="378"/>
  <c r="Y21" i="378"/>
  <c r="X21" i="378"/>
  <c r="W21" i="378"/>
  <c r="V21" i="378"/>
  <c r="U21" i="378"/>
  <c r="T21" i="378"/>
  <c r="S21" i="378"/>
  <c r="R21" i="378"/>
  <c r="Q21" i="378"/>
  <c r="P21" i="378"/>
  <c r="O21" i="378"/>
  <c r="N21" i="378"/>
  <c r="M21" i="378"/>
  <c r="L21" i="378"/>
  <c r="K21" i="378"/>
  <c r="J21" i="378"/>
  <c r="I21" i="378"/>
  <c r="H21" i="378"/>
  <c r="AK20" i="378"/>
  <c r="AJ20" i="378"/>
  <c r="AI20" i="378"/>
  <c r="AH20" i="378"/>
  <c r="AG20" i="378"/>
  <c r="AF20" i="378"/>
  <c r="AE20" i="378"/>
  <c r="AD20" i="378"/>
  <c r="AC20" i="378"/>
  <c r="AB20" i="378"/>
  <c r="AA20" i="378"/>
  <c r="Z20" i="378"/>
  <c r="Y20" i="378"/>
  <c r="X20" i="378"/>
  <c r="W20" i="378"/>
  <c r="V20" i="378"/>
  <c r="U20" i="378"/>
  <c r="T20" i="378"/>
  <c r="S20" i="378"/>
  <c r="R20" i="378"/>
  <c r="Q20" i="378"/>
  <c r="P20" i="378"/>
  <c r="O20" i="378"/>
  <c r="N20" i="378"/>
  <c r="M20" i="378"/>
  <c r="L20" i="378"/>
  <c r="K20" i="378"/>
  <c r="J20" i="378"/>
  <c r="I20" i="378"/>
  <c r="H20" i="378"/>
  <c r="E20" i="378"/>
  <c r="AK21" i="377"/>
  <c r="AJ21" i="377"/>
  <c r="AI21" i="377"/>
  <c r="AH21" i="377"/>
  <c r="AG21" i="377"/>
  <c r="AF21" i="377"/>
  <c r="AE21" i="377"/>
  <c r="AD21" i="377"/>
  <c r="AC21" i="377"/>
  <c r="AB21" i="377"/>
  <c r="AA21" i="377"/>
  <c r="Z21" i="377"/>
  <c r="Y21" i="377"/>
  <c r="X21" i="377"/>
  <c r="W21" i="377"/>
  <c r="V21" i="377"/>
  <c r="U21" i="377"/>
  <c r="T21" i="377"/>
  <c r="S21" i="377"/>
  <c r="R21" i="377"/>
  <c r="Q21" i="377"/>
  <c r="P21" i="377"/>
  <c r="O21" i="377"/>
  <c r="N21" i="377"/>
  <c r="M21" i="377"/>
  <c r="L21" i="377"/>
  <c r="K21" i="377"/>
  <c r="J21" i="377"/>
  <c r="I21" i="377"/>
  <c r="H21" i="377"/>
  <c r="AK20" i="377"/>
  <c r="AJ20" i="377"/>
  <c r="AI20" i="377"/>
  <c r="AH20" i="377"/>
  <c r="AG20" i="377"/>
  <c r="AF20" i="377"/>
  <c r="AE20" i="377"/>
  <c r="AD20" i="377"/>
  <c r="AC20" i="377"/>
  <c r="AB20" i="377"/>
  <c r="AA20" i="377"/>
  <c r="Z20" i="377"/>
  <c r="Y20" i="377"/>
  <c r="X20" i="377"/>
  <c r="W20" i="377"/>
  <c r="V20" i="377"/>
  <c r="U20" i="377"/>
  <c r="T20" i="377"/>
  <c r="S20" i="377"/>
  <c r="R20" i="377"/>
  <c r="Q20" i="377"/>
  <c r="P20" i="377"/>
  <c r="O20" i="377"/>
  <c r="N20" i="377"/>
  <c r="M20" i="377"/>
  <c r="L20" i="377"/>
  <c r="K20" i="377"/>
  <c r="J20" i="377"/>
  <c r="I20" i="377"/>
  <c r="H20" i="377"/>
  <c r="E20" i="377"/>
  <c r="F20" i="377"/>
  <c r="G20" i="377"/>
  <c r="AK21" i="376"/>
  <c r="AJ21" i="376"/>
  <c r="AI21" i="376"/>
  <c r="AH21" i="376"/>
  <c r="AG21" i="376"/>
  <c r="AF21" i="376"/>
  <c r="AE21" i="376"/>
  <c r="AD21" i="376"/>
  <c r="AC21" i="376"/>
  <c r="AB21" i="376"/>
  <c r="AA21" i="376"/>
  <c r="Z21" i="376"/>
  <c r="Y21" i="376"/>
  <c r="X21" i="376"/>
  <c r="W21" i="376"/>
  <c r="V21" i="376"/>
  <c r="U21" i="376"/>
  <c r="T21" i="376"/>
  <c r="S21" i="376"/>
  <c r="R21" i="376"/>
  <c r="Q21" i="376"/>
  <c r="P21" i="376"/>
  <c r="O21" i="376"/>
  <c r="N21" i="376"/>
  <c r="M21" i="376"/>
  <c r="L21" i="376"/>
  <c r="K21" i="376"/>
  <c r="J21" i="376"/>
  <c r="I21" i="376"/>
  <c r="H21" i="376"/>
  <c r="AK20" i="376"/>
  <c r="AJ20" i="376"/>
  <c r="AI20" i="376"/>
  <c r="AH20" i="376"/>
  <c r="AG20" i="376"/>
  <c r="AF20" i="376"/>
  <c r="AE20" i="376"/>
  <c r="AD20" i="376"/>
  <c r="AC20" i="376"/>
  <c r="AB20" i="376"/>
  <c r="AA20" i="376"/>
  <c r="Z20" i="376"/>
  <c r="Y20" i="376"/>
  <c r="X20" i="376"/>
  <c r="W20" i="376"/>
  <c r="V20" i="376"/>
  <c r="U20" i="376"/>
  <c r="T20" i="376"/>
  <c r="S20" i="376"/>
  <c r="R20" i="376"/>
  <c r="Q20" i="376"/>
  <c r="P20" i="376"/>
  <c r="O20" i="376"/>
  <c r="N20" i="376"/>
  <c r="M20" i="376"/>
  <c r="L20" i="376"/>
  <c r="K20" i="376"/>
  <c r="J20" i="376"/>
  <c r="I20" i="376"/>
  <c r="H20" i="376"/>
  <c r="E20" i="376"/>
  <c r="G20" i="376"/>
  <c r="F20" i="376"/>
  <c r="AK21" i="375"/>
  <c r="AJ21" i="375"/>
  <c r="AI21" i="375"/>
  <c r="AH21" i="375"/>
  <c r="AG21" i="375"/>
  <c r="AF21" i="375"/>
  <c r="AE21" i="375"/>
  <c r="AD21" i="375"/>
  <c r="AC21" i="375"/>
  <c r="AB21" i="375"/>
  <c r="AA21" i="375"/>
  <c r="Z21" i="375"/>
  <c r="Y21" i="375"/>
  <c r="X21" i="375"/>
  <c r="W21" i="375"/>
  <c r="V21" i="375"/>
  <c r="U21" i="375"/>
  <c r="T21" i="375"/>
  <c r="S21" i="375"/>
  <c r="R21" i="375"/>
  <c r="Q21" i="375"/>
  <c r="P21" i="375"/>
  <c r="O21" i="375"/>
  <c r="N21" i="375"/>
  <c r="M21" i="375"/>
  <c r="L21" i="375"/>
  <c r="K21" i="375"/>
  <c r="J21" i="375"/>
  <c r="I21" i="375"/>
  <c r="H21" i="375"/>
  <c r="AK20" i="375"/>
  <c r="AJ20" i="375"/>
  <c r="AI20" i="375"/>
  <c r="AH20" i="375"/>
  <c r="AG20" i="375"/>
  <c r="AF20" i="375"/>
  <c r="AE20" i="375"/>
  <c r="AD20" i="375"/>
  <c r="AC20" i="375"/>
  <c r="AB20" i="375"/>
  <c r="AA20" i="375"/>
  <c r="Z20" i="375"/>
  <c r="Y20" i="375"/>
  <c r="X20" i="375"/>
  <c r="W20" i="375"/>
  <c r="V20" i="375"/>
  <c r="U20" i="375"/>
  <c r="T20" i="375"/>
  <c r="S20" i="375"/>
  <c r="R20" i="375"/>
  <c r="Q20" i="375"/>
  <c r="P20" i="375"/>
  <c r="O20" i="375"/>
  <c r="N20" i="375"/>
  <c r="M20" i="375"/>
  <c r="L20" i="375"/>
  <c r="K20" i="375"/>
  <c r="J20" i="375"/>
  <c r="I20" i="375"/>
  <c r="H20" i="375"/>
  <c r="E20" i="375"/>
  <c r="G20" i="375"/>
  <c r="F20" i="375"/>
  <c r="AK21" i="374"/>
  <c r="AJ21" i="374"/>
  <c r="AI21" i="374"/>
  <c r="AH21" i="374"/>
  <c r="AG21" i="374"/>
  <c r="AF21" i="374"/>
  <c r="AE21" i="374"/>
  <c r="AD21" i="374"/>
  <c r="AC21" i="374"/>
  <c r="AB21" i="374"/>
  <c r="AA21" i="374"/>
  <c r="Z21" i="374"/>
  <c r="Y21" i="374"/>
  <c r="X21" i="374"/>
  <c r="W21" i="374"/>
  <c r="V21" i="374"/>
  <c r="U21" i="374"/>
  <c r="T21" i="374"/>
  <c r="S21" i="374"/>
  <c r="R21" i="374"/>
  <c r="Q21" i="374"/>
  <c r="P21" i="374"/>
  <c r="O21" i="374"/>
  <c r="N21" i="374"/>
  <c r="M21" i="374"/>
  <c r="L21" i="374"/>
  <c r="K21" i="374"/>
  <c r="J21" i="374"/>
  <c r="I21" i="374"/>
  <c r="H21" i="374"/>
  <c r="AK20" i="374"/>
  <c r="AJ20" i="374"/>
  <c r="AI20" i="374"/>
  <c r="AH20" i="374"/>
  <c r="AG20" i="374"/>
  <c r="AF20" i="374"/>
  <c r="AE20" i="374"/>
  <c r="AD20" i="374"/>
  <c r="AC20" i="374"/>
  <c r="AB20" i="374"/>
  <c r="AA20" i="374"/>
  <c r="Z20" i="374"/>
  <c r="Y20" i="374"/>
  <c r="X20" i="374"/>
  <c r="W20" i="374"/>
  <c r="V20" i="374"/>
  <c r="U20" i="374"/>
  <c r="T20" i="374"/>
  <c r="S20" i="374"/>
  <c r="R20" i="374"/>
  <c r="Q20" i="374"/>
  <c r="P20" i="374"/>
  <c r="O20" i="374"/>
  <c r="N20" i="374"/>
  <c r="M20" i="374"/>
  <c r="L20" i="374"/>
  <c r="K20" i="374"/>
  <c r="J20" i="374"/>
  <c r="I20" i="374"/>
  <c r="H20" i="374"/>
  <c r="E20" i="374"/>
  <c r="G20" i="374"/>
  <c r="F20" i="374"/>
  <c r="AK21" i="373"/>
  <c r="AJ21" i="373"/>
  <c r="AI21" i="373"/>
  <c r="AH21" i="373"/>
  <c r="AG21" i="373"/>
  <c r="AF21" i="373"/>
  <c r="AE21" i="373"/>
  <c r="AD21" i="373"/>
  <c r="AC21" i="373"/>
  <c r="AB21" i="373"/>
  <c r="AA21" i="373"/>
  <c r="Z21" i="373"/>
  <c r="Y21" i="373"/>
  <c r="X21" i="373"/>
  <c r="W21" i="373"/>
  <c r="V21" i="373"/>
  <c r="U21" i="373"/>
  <c r="T21" i="373"/>
  <c r="S21" i="373"/>
  <c r="R21" i="373"/>
  <c r="Q21" i="373"/>
  <c r="P21" i="373"/>
  <c r="O21" i="373"/>
  <c r="N21" i="373"/>
  <c r="M21" i="373"/>
  <c r="L21" i="373"/>
  <c r="K21" i="373"/>
  <c r="J21" i="373"/>
  <c r="I21" i="373"/>
  <c r="H21" i="373"/>
  <c r="AK20" i="373"/>
  <c r="AJ20" i="373"/>
  <c r="AI20" i="373"/>
  <c r="AH20" i="373"/>
  <c r="AG20" i="373"/>
  <c r="AF20" i="373"/>
  <c r="AE20" i="373"/>
  <c r="AD20" i="373"/>
  <c r="AC20" i="373"/>
  <c r="AB20" i="373"/>
  <c r="AA20" i="373"/>
  <c r="Z20" i="373"/>
  <c r="Y20" i="373"/>
  <c r="X20" i="373"/>
  <c r="W20" i="373"/>
  <c r="V20" i="373"/>
  <c r="U20" i="373"/>
  <c r="T20" i="373"/>
  <c r="S20" i="373"/>
  <c r="R20" i="373"/>
  <c r="Q20" i="373"/>
  <c r="P20" i="373"/>
  <c r="O20" i="373"/>
  <c r="N20" i="373"/>
  <c r="M20" i="373"/>
  <c r="L20" i="373"/>
  <c r="K20" i="373"/>
  <c r="J20" i="373"/>
  <c r="I20" i="373"/>
  <c r="H20" i="373"/>
  <c r="F20" i="373"/>
  <c r="E20" i="373"/>
  <c r="G20" i="373"/>
  <c r="AK21" i="372"/>
  <c r="AJ21" i="372"/>
  <c r="AI21" i="372"/>
  <c r="AH21" i="372"/>
  <c r="AG21" i="372"/>
  <c r="AF21" i="372"/>
  <c r="AE21" i="372"/>
  <c r="AD21" i="372"/>
  <c r="AC21" i="372"/>
  <c r="AB21" i="372"/>
  <c r="AA21" i="372"/>
  <c r="Z21" i="372"/>
  <c r="Y21" i="372"/>
  <c r="X21" i="372"/>
  <c r="W21" i="372"/>
  <c r="V21" i="372"/>
  <c r="U21" i="372"/>
  <c r="T21" i="372"/>
  <c r="S21" i="372"/>
  <c r="R21" i="372"/>
  <c r="Q21" i="372"/>
  <c r="P21" i="372"/>
  <c r="O21" i="372"/>
  <c r="N21" i="372"/>
  <c r="M21" i="372"/>
  <c r="L21" i="372"/>
  <c r="K21" i="372"/>
  <c r="J21" i="372"/>
  <c r="I21" i="372"/>
  <c r="H21" i="372"/>
  <c r="AK20" i="372"/>
  <c r="AJ20" i="372"/>
  <c r="AI20" i="372"/>
  <c r="AH20" i="372"/>
  <c r="AG20" i="372"/>
  <c r="AF20" i="372"/>
  <c r="AE20" i="372"/>
  <c r="AD20" i="372"/>
  <c r="AC20" i="372"/>
  <c r="AB20" i="372"/>
  <c r="AA20" i="372"/>
  <c r="Z20" i="372"/>
  <c r="Y20" i="372"/>
  <c r="X20" i="372"/>
  <c r="W20" i="372"/>
  <c r="V20" i="372"/>
  <c r="U20" i="372"/>
  <c r="T20" i="372"/>
  <c r="S20" i="372"/>
  <c r="R20" i="372"/>
  <c r="Q20" i="372"/>
  <c r="P20" i="372"/>
  <c r="O20" i="372"/>
  <c r="N20" i="372"/>
  <c r="M20" i="372"/>
  <c r="L20" i="372"/>
  <c r="K20" i="372"/>
  <c r="J20" i="372"/>
  <c r="I20" i="372"/>
  <c r="H20" i="372"/>
  <c r="E20" i="372"/>
  <c r="F20" i="372"/>
  <c r="G20" i="372"/>
  <c r="AK21" i="371"/>
  <c r="AJ21" i="371"/>
  <c r="AI21" i="371"/>
  <c r="AH21" i="371"/>
  <c r="AG21" i="371"/>
  <c r="AF21" i="371"/>
  <c r="AE21" i="371"/>
  <c r="AD21" i="371"/>
  <c r="AC21" i="371"/>
  <c r="AB21" i="371"/>
  <c r="AA21" i="371"/>
  <c r="Z21" i="371"/>
  <c r="Y21" i="371"/>
  <c r="X21" i="371"/>
  <c r="W21" i="371"/>
  <c r="V21" i="371"/>
  <c r="U21" i="371"/>
  <c r="T21" i="371"/>
  <c r="S21" i="371"/>
  <c r="R21" i="371"/>
  <c r="Q21" i="371"/>
  <c r="P21" i="371"/>
  <c r="O21" i="371"/>
  <c r="N21" i="371"/>
  <c r="M21" i="371"/>
  <c r="L21" i="371"/>
  <c r="K21" i="371"/>
  <c r="J21" i="371"/>
  <c r="I21" i="371"/>
  <c r="H21" i="371"/>
  <c r="AK20" i="371"/>
  <c r="AJ20" i="371"/>
  <c r="AI20" i="371"/>
  <c r="AH20" i="371"/>
  <c r="AG20" i="371"/>
  <c r="AF20" i="371"/>
  <c r="AE20" i="371"/>
  <c r="AD20" i="371"/>
  <c r="AC20" i="371"/>
  <c r="AB20" i="371"/>
  <c r="AA20" i="371"/>
  <c r="Z20" i="371"/>
  <c r="Y20" i="371"/>
  <c r="X20" i="371"/>
  <c r="W20" i="371"/>
  <c r="V20" i="371"/>
  <c r="U20" i="371"/>
  <c r="T20" i="371"/>
  <c r="S20" i="371"/>
  <c r="R20" i="371"/>
  <c r="Q20" i="371"/>
  <c r="P20" i="371"/>
  <c r="O20" i="371"/>
  <c r="N20" i="371"/>
  <c r="M20" i="371"/>
  <c r="L20" i="371"/>
  <c r="K20" i="371"/>
  <c r="J20" i="371"/>
  <c r="I20" i="371"/>
  <c r="H20" i="371"/>
  <c r="E20" i="371"/>
  <c r="F20" i="371"/>
  <c r="G20" i="371"/>
  <c r="AK21" i="370"/>
  <c r="AJ21" i="370"/>
  <c r="AI21" i="370"/>
  <c r="AH21" i="370"/>
  <c r="AG21" i="370"/>
  <c r="AF21" i="370"/>
  <c r="AE21" i="370"/>
  <c r="AD21" i="370"/>
  <c r="AC21" i="370"/>
  <c r="AB21" i="370"/>
  <c r="AA21" i="370"/>
  <c r="Z21" i="370"/>
  <c r="Y21" i="370"/>
  <c r="X21" i="370"/>
  <c r="W21" i="370"/>
  <c r="V21" i="370"/>
  <c r="U21" i="370"/>
  <c r="T21" i="370"/>
  <c r="S21" i="370"/>
  <c r="R21" i="370"/>
  <c r="Q21" i="370"/>
  <c r="P21" i="370"/>
  <c r="O21" i="370"/>
  <c r="N21" i="370"/>
  <c r="M21" i="370"/>
  <c r="L21" i="370"/>
  <c r="K21" i="370"/>
  <c r="J21" i="370"/>
  <c r="I21" i="370"/>
  <c r="H21" i="370"/>
  <c r="AK20" i="370"/>
  <c r="AJ20" i="370"/>
  <c r="AI20" i="370"/>
  <c r="AH20" i="370"/>
  <c r="AG20" i="370"/>
  <c r="AF20" i="370"/>
  <c r="AE20" i="370"/>
  <c r="AD20" i="370"/>
  <c r="AC20" i="370"/>
  <c r="AB20" i="370"/>
  <c r="AA20" i="370"/>
  <c r="Z20" i="370"/>
  <c r="Y20" i="370"/>
  <c r="X20" i="370"/>
  <c r="W20" i="370"/>
  <c r="V20" i="370"/>
  <c r="U20" i="370"/>
  <c r="T20" i="370"/>
  <c r="S20" i="370"/>
  <c r="R20" i="370"/>
  <c r="Q20" i="370"/>
  <c r="P20" i="370"/>
  <c r="O20" i="370"/>
  <c r="N20" i="370"/>
  <c r="M20" i="370"/>
  <c r="L20" i="370"/>
  <c r="K20" i="370"/>
  <c r="J20" i="370"/>
  <c r="I20" i="370"/>
  <c r="H20" i="370"/>
  <c r="E20" i="370"/>
  <c r="F20" i="370"/>
  <c r="G20" i="370"/>
  <c r="AK21" i="369"/>
  <c r="AJ21" i="369"/>
  <c r="AI21" i="369"/>
  <c r="AH21" i="369"/>
  <c r="AG21" i="369"/>
  <c r="AF21" i="369"/>
  <c r="AE21" i="369"/>
  <c r="AD21" i="369"/>
  <c r="AC21" i="369"/>
  <c r="AB21" i="369"/>
  <c r="AA21" i="369"/>
  <c r="Z21" i="369"/>
  <c r="Y21" i="369"/>
  <c r="X21" i="369"/>
  <c r="W21" i="369"/>
  <c r="V21" i="369"/>
  <c r="U21" i="369"/>
  <c r="T21" i="369"/>
  <c r="S21" i="369"/>
  <c r="R21" i="369"/>
  <c r="Q21" i="369"/>
  <c r="P21" i="369"/>
  <c r="O21" i="369"/>
  <c r="N21" i="369"/>
  <c r="M21" i="369"/>
  <c r="L21" i="369"/>
  <c r="K21" i="369"/>
  <c r="J21" i="369"/>
  <c r="I21" i="369"/>
  <c r="H21" i="369"/>
  <c r="AK20" i="369"/>
  <c r="AJ20" i="369"/>
  <c r="AI20" i="369"/>
  <c r="AH20" i="369"/>
  <c r="AG20" i="369"/>
  <c r="AF20" i="369"/>
  <c r="AE20" i="369"/>
  <c r="AD20" i="369"/>
  <c r="AC20" i="369"/>
  <c r="AB20" i="369"/>
  <c r="AA20" i="369"/>
  <c r="Z20" i="369"/>
  <c r="Y20" i="369"/>
  <c r="X20" i="369"/>
  <c r="W20" i="369"/>
  <c r="V20" i="369"/>
  <c r="U20" i="369"/>
  <c r="T20" i="369"/>
  <c r="S20" i="369"/>
  <c r="R20" i="369"/>
  <c r="Q20" i="369"/>
  <c r="P20" i="369"/>
  <c r="O20" i="369"/>
  <c r="N20" i="369"/>
  <c r="M20" i="369"/>
  <c r="L20" i="369"/>
  <c r="K20" i="369"/>
  <c r="J20" i="369"/>
  <c r="I20" i="369"/>
  <c r="H20" i="369"/>
  <c r="E20" i="369"/>
  <c r="G20" i="369"/>
  <c r="F20" i="369"/>
  <c r="AK21" i="368"/>
  <c r="AJ21" i="368"/>
  <c r="AI21" i="368"/>
  <c r="AH21" i="368"/>
  <c r="AG21" i="368"/>
  <c r="AF21" i="368"/>
  <c r="AE21" i="368"/>
  <c r="AD21" i="368"/>
  <c r="AC21" i="368"/>
  <c r="AB21" i="368"/>
  <c r="AA21" i="368"/>
  <c r="Z21" i="368"/>
  <c r="Y21" i="368"/>
  <c r="X21" i="368"/>
  <c r="W21" i="368"/>
  <c r="V21" i="368"/>
  <c r="U21" i="368"/>
  <c r="T21" i="368"/>
  <c r="S21" i="368"/>
  <c r="R21" i="368"/>
  <c r="Q21" i="368"/>
  <c r="P21" i="368"/>
  <c r="O21" i="368"/>
  <c r="N21" i="368"/>
  <c r="M21" i="368"/>
  <c r="L21" i="368"/>
  <c r="K21" i="368"/>
  <c r="J21" i="368"/>
  <c r="I21" i="368"/>
  <c r="H21" i="368"/>
  <c r="AK20" i="368"/>
  <c r="AJ20" i="368"/>
  <c r="AI20" i="368"/>
  <c r="AH20" i="368"/>
  <c r="AG20" i="368"/>
  <c r="AF20" i="368"/>
  <c r="AE20" i="368"/>
  <c r="AD20" i="368"/>
  <c r="AC20" i="368"/>
  <c r="AB20" i="368"/>
  <c r="AA20" i="368"/>
  <c r="Z20" i="368"/>
  <c r="Y20" i="368"/>
  <c r="X20" i="368"/>
  <c r="W20" i="368"/>
  <c r="V20" i="368"/>
  <c r="U20" i="368"/>
  <c r="T20" i="368"/>
  <c r="S20" i="368"/>
  <c r="R20" i="368"/>
  <c r="Q20" i="368"/>
  <c r="P20" i="368"/>
  <c r="O20" i="368"/>
  <c r="N20" i="368"/>
  <c r="M20" i="368"/>
  <c r="L20" i="368"/>
  <c r="K20" i="368"/>
  <c r="J20" i="368"/>
  <c r="I20" i="368"/>
  <c r="H20" i="368"/>
  <c r="E20" i="368"/>
  <c r="G20" i="368"/>
  <c r="F20" i="368"/>
  <c r="AK21" i="367"/>
  <c r="AJ21" i="367"/>
  <c r="AI21" i="367"/>
  <c r="AH21" i="367"/>
  <c r="AG21" i="367"/>
  <c r="AF21" i="367"/>
  <c r="AE21" i="367"/>
  <c r="AD21" i="367"/>
  <c r="AC21" i="367"/>
  <c r="AB21" i="367"/>
  <c r="AA21" i="367"/>
  <c r="Z21" i="367"/>
  <c r="Y21" i="367"/>
  <c r="X21" i="367"/>
  <c r="W21" i="367"/>
  <c r="V21" i="367"/>
  <c r="U21" i="367"/>
  <c r="T21" i="367"/>
  <c r="S21" i="367"/>
  <c r="R21" i="367"/>
  <c r="Q21" i="367"/>
  <c r="P21" i="367"/>
  <c r="O21" i="367"/>
  <c r="N21" i="367"/>
  <c r="M21" i="367"/>
  <c r="L21" i="367"/>
  <c r="K21" i="367"/>
  <c r="J21" i="367"/>
  <c r="I21" i="367"/>
  <c r="H21" i="367"/>
  <c r="AK20" i="367"/>
  <c r="AJ20" i="367"/>
  <c r="AI20" i="367"/>
  <c r="AH20" i="367"/>
  <c r="AG20" i="367"/>
  <c r="AF20" i="367"/>
  <c r="AE20" i="367"/>
  <c r="AD20" i="367"/>
  <c r="AC20" i="367"/>
  <c r="AB20" i="367"/>
  <c r="AA20" i="367"/>
  <c r="Z20" i="367"/>
  <c r="Y20" i="367"/>
  <c r="X20" i="367"/>
  <c r="W20" i="367"/>
  <c r="V20" i="367"/>
  <c r="U20" i="367"/>
  <c r="T20" i="367"/>
  <c r="S20" i="367"/>
  <c r="R20" i="367"/>
  <c r="Q20" i="367"/>
  <c r="P20" i="367"/>
  <c r="O20" i="367"/>
  <c r="N20" i="367"/>
  <c r="M20" i="367"/>
  <c r="L20" i="367"/>
  <c r="K20" i="367"/>
  <c r="J20" i="367"/>
  <c r="I20" i="367"/>
  <c r="H20" i="367"/>
  <c r="E20" i="367"/>
  <c r="F20" i="367"/>
  <c r="G20" i="367"/>
  <c r="AK21" i="366"/>
  <c r="AJ21" i="366"/>
  <c r="AI21" i="366"/>
  <c r="AH21" i="366"/>
  <c r="AG21" i="366"/>
  <c r="AF21" i="366"/>
  <c r="AE21" i="366"/>
  <c r="AD21" i="366"/>
  <c r="AC21" i="366"/>
  <c r="AB21" i="366"/>
  <c r="AA21" i="366"/>
  <c r="Z21" i="366"/>
  <c r="Y21" i="366"/>
  <c r="X21" i="366"/>
  <c r="W21" i="366"/>
  <c r="V21" i="366"/>
  <c r="U21" i="366"/>
  <c r="T21" i="366"/>
  <c r="S21" i="366"/>
  <c r="R21" i="366"/>
  <c r="Q21" i="366"/>
  <c r="P21" i="366"/>
  <c r="O21" i="366"/>
  <c r="N21" i="366"/>
  <c r="M21" i="366"/>
  <c r="L21" i="366"/>
  <c r="K21" i="366"/>
  <c r="J21" i="366"/>
  <c r="I21" i="366"/>
  <c r="H21" i="366"/>
  <c r="AK20" i="366"/>
  <c r="AJ20" i="366"/>
  <c r="AI20" i="366"/>
  <c r="AH20" i="366"/>
  <c r="AG20" i="366"/>
  <c r="AF20" i="366"/>
  <c r="AE20" i="366"/>
  <c r="AD20" i="366"/>
  <c r="AC20" i="366"/>
  <c r="AB20" i="366"/>
  <c r="AA20" i="366"/>
  <c r="Z20" i="366"/>
  <c r="Y20" i="366"/>
  <c r="X20" i="366"/>
  <c r="W20" i="366"/>
  <c r="V20" i="366"/>
  <c r="U20" i="366"/>
  <c r="T20" i="366"/>
  <c r="S20" i="366"/>
  <c r="R20" i="366"/>
  <c r="Q20" i="366"/>
  <c r="P20" i="366"/>
  <c r="O20" i="366"/>
  <c r="N20" i="366"/>
  <c r="M20" i="366"/>
  <c r="L20" i="366"/>
  <c r="K20" i="366"/>
  <c r="J20" i="366"/>
  <c r="I20" i="366"/>
  <c r="H20" i="366"/>
  <c r="E20" i="366"/>
  <c r="G20" i="366"/>
  <c r="F20" i="366"/>
  <c r="AK21" i="365"/>
  <c r="AJ21" i="365"/>
  <c r="AI21" i="365"/>
  <c r="AH21" i="365"/>
  <c r="AG21" i="365"/>
  <c r="AF21" i="365"/>
  <c r="AE21" i="365"/>
  <c r="AD21" i="365"/>
  <c r="AC21" i="365"/>
  <c r="AB21" i="365"/>
  <c r="AA21" i="365"/>
  <c r="Z21" i="365"/>
  <c r="Y21" i="365"/>
  <c r="X21" i="365"/>
  <c r="W21" i="365"/>
  <c r="V21" i="365"/>
  <c r="U21" i="365"/>
  <c r="T21" i="365"/>
  <c r="S21" i="365"/>
  <c r="R21" i="365"/>
  <c r="Q21" i="365"/>
  <c r="P21" i="365"/>
  <c r="O21" i="365"/>
  <c r="N21" i="365"/>
  <c r="M21" i="365"/>
  <c r="L21" i="365"/>
  <c r="K21" i="365"/>
  <c r="J21" i="365"/>
  <c r="I21" i="365"/>
  <c r="H21" i="365"/>
  <c r="AK20" i="365"/>
  <c r="AJ20" i="365"/>
  <c r="AI20" i="365"/>
  <c r="AH20" i="365"/>
  <c r="AG20" i="365"/>
  <c r="AF20" i="365"/>
  <c r="AE20" i="365"/>
  <c r="AD20" i="365"/>
  <c r="AC20" i="365"/>
  <c r="AB20" i="365"/>
  <c r="AA20" i="365"/>
  <c r="Z20" i="365"/>
  <c r="Y20" i="365"/>
  <c r="X20" i="365"/>
  <c r="W20" i="365"/>
  <c r="V20" i="365"/>
  <c r="U20" i="365"/>
  <c r="T20" i="365"/>
  <c r="S20" i="365"/>
  <c r="R20" i="365"/>
  <c r="Q20" i="365"/>
  <c r="P20" i="365"/>
  <c r="O20" i="365"/>
  <c r="N20" i="365"/>
  <c r="M20" i="365"/>
  <c r="L20" i="365"/>
  <c r="K20" i="365"/>
  <c r="J20" i="365"/>
  <c r="I20" i="365"/>
  <c r="H20" i="365"/>
  <c r="E20" i="365"/>
  <c r="G20" i="365"/>
  <c r="F20" i="365"/>
  <c r="AK21" i="364"/>
  <c r="AJ21" i="364"/>
  <c r="AI21" i="364"/>
  <c r="AH21" i="364"/>
  <c r="AG21" i="364"/>
  <c r="AF21" i="364"/>
  <c r="AE21" i="364"/>
  <c r="AD21" i="364"/>
  <c r="AC21" i="364"/>
  <c r="AB21" i="364"/>
  <c r="AA21" i="364"/>
  <c r="Z21" i="364"/>
  <c r="Y21" i="364"/>
  <c r="X21" i="364"/>
  <c r="W21" i="364"/>
  <c r="V21" i="364"/>
  <c r="U21" i="364"/>
  <c r="T21" i="364"/>
  <c r="S21" i="364"/>
  <c r="R21" i="364"/>
  <c r="Q21" i="364"/>
  <c r="P21" i="364"/>
  <c r="O21" i="364"/>
  <c r="N21" i="364"/>
  <c r="M21" i="364"/>
  <c r="L21" i="364"/>
  <c r="K21" i="364"/>
  <c r="J21" i="364"/>
  <c r="I21" i="364"/>
  <c r="H21" i="364"/>
  <c r="AK20" i="364"/>
  <c r="AJ20" i="364"/>
  <c r="AI20" i="364"/>
  <c r="AH20" i="364"/>
  <c r="AG20" i="364"/>
  <c r="AF20" i="364"/>
  <c r="AE20" i="364"/>
  <c r="AD20" i="364"/>
  <c r="AC20" i="364"/>
  <c r="AB20" i="364"/>
  <c r="AA20" i="364"/>
  <c r="Z20" i="364"/>
  <c r="Y20" i="364"/>
  <c r="X20" i="364"/>
  <c r="W20" i="364"/>
  <c r="V20" i="364"/>
  <c r="U20" i="364"/>
  <c r="T20" i="364"/>
  <c r="S20" i="364"/>
  <c r="R20" i="364"/>
  <c r="Q20" i="364"/>
  <c r="P20" i="364"/>
  <c r="O20" i="364"/>
  <c r="N20" i="364"/>
  <c r="M20" i="364"/>
  <c r="L20" i="364"/>
  <c r="K20" i="364"/>
  <c r="J20" i="364"/>
  <c r="I20" i="364"/>
  <c r="H20" i="364"/>
  <c r="E20" i="364"/>
  <c r="F20" i="364"/>
  <c r="G20" i="364"/>
  <c r="AK21" i="363"/>
  <c r="AJ21" i="363"/>
  <c r="AI21" i="363"/>
  <c r="AH21" i="363"/>
  <c r="AG21" i="363"/>
  <c r="AF21" i="363"/>
  <c r="AE21" i="363"/>
  <c r="AD21" i="363"/>
  <c r="AC21" i="363"/>
  <c r="AB21" i="363"/>
  <c r="AA21" i="363"/>
  <c r="Z21" i="363"/>
  <c r="Y21" i="363"/>
  <c r="X21" i="363"/>
  <c r="W21" i="363"/>
  <c r="V21" i="363"/>
  <c r="U21" i="363"/>
  <c r="T21" i="363"/>
  <c r="S21" i="363"/>
  <c r="R21" i="363"/>
  <c r="Q21" i="363"/>
  <c r="P21" i="363"/>
  <c r="O21" i="363"/>
  <c r="N21" i="363"/>
  <c r="M21" i="363"/>
  <c r="L21" i="363"/>
  <c r="K21" i="363"/>
  <c r="J21" i="363"/>
  <c r="I21" i="363"/>
  <c r="H21" i="363"/>
  <c r="AK20" i="363"/>
  <c r="AJ20" i="363"/>
  <c r="AI20" i="363"/>
  <c r="AH20" i="363"/>
  <c r="AG20" i="363"/>
  <c r="AF20" i="363"/>
  <c r="AE20" i="363"/>
  <c r="AD20" i="363"/>
  <c r="AC20" i="363"/>
  <c r="AB20" i="363"/>
  <c r="AA20" i="363"/>
  <c r="Z20" i="363"/>
  <c r="Y20" i="363"/>
  <c r="X20" i="363"/>
  <c r="W20" i="363"/>
  <c r="V20" i="363"/>
  <c r="U20" i="363"/>
  <c r="T20" i="363"/>
  <c r="S20" i="363"/>
  <c r="R20" i="363"/>
  <c r="Q20" i="363"/>
  <c r="P20" i="363"/>
  <c r="O20" i="363"/>
  <c r="N20" i="363"/>
  <c r="M20" i="363"/>
  <c r="L20" i="363"/>
  <c r="K20" i="363"/>
  <c r="J20" i="363"/>
  <c r="I20" i="363"/>
  <c r="H20" i="363"/>
  <c r="F20" i="363"/>
  <c r="E20" i="363"/>
  <c r="G20" i="363"/>
  <c r="AK21" i="362"/>
  <c r="AJ21" i="362"/>
  <c r="AI21" i="362"/>
  <c r="AH21" i="362"/>
  <c r="AG21" i="362"/>
  <c r="AF21" i="362"/>
  <c r="AE21" i="362"/>
  <c r="AD21" i="362"/>
  <c r="AC21" i="362"/>
  <c r="AB21" i="362"/>
  <c r="AA21" i="362"/>
  <c r="Z21" i="362"/>
  <c r="Y21" i="362"/>
  <c r="X21" i="362"/>
  <c r="W21" i="362"/>
  <c r="V21" i="362"/>
  <c r="U21" i="362"/>
  <c r="T21" i="362"/>
  <c r="S21" i="362"/>
  <c r="R21" i="362"/>
  <c r="Q21" i="362"/>
  <c r="P21" i="362"/>
  <c r="O21" i="362"/>
  <c r="N21" i="362"/>
  <c r="M21" i="362"/>
  <c r="L21" i="362"/>
  <c r="K21" i="362"/>
  <c r="J21" i="362"/>
  <c r="I21" i="362"/>
  <c r="H21" i="362"/>
  <c r="AK20" i="362"/>
  <c r="AJ20" i="362"/>
  <c r="AI20" i="362"/>
  <c r="AH20" i="362"/>
  <c r="AG20" i="362"/>
  <c r="AF20" i="362"/>
  <c r="AE20" i="362"/>
  <c r="AD20" i="362"/>
  <c r="AC20" i="362"/>
  <c r="AB20" i="362"/>
  <c r="AA20" i="362"/>
  <c r="Z20" i="362"/>
  <c r="Y20" i="362"/>
  <c r="X20" i="362"/>
  <c r="W20" i="362"/>
  <c r="V20" i="362"/>
  <c r="U20" i="362"/>
  <c r="T20" i="362"/>
  <c r="S20" i="362"/>
  <c r="R20" i="362"/>
  <c r="Q20" i="362"/>
  <c r="P20" i="362"/>
  <c r="O20" i="362"/>
  <c r="N20" i="362"/>
  <c r="M20" i="362"/>
  <c r="L20" i="362"/>
  <c r="K20" i="362"/>
  <c r="J20" i="362"/>
  <c r="I20" i="362"/>
  <c r="H20" i="362"/>
  <c r="F20" i="362"/>
  <c r="E20" i="362"/>
  <c r="G20" i="362"/>
  <c r="AK21" i="361"/>
  <c r="AJ21" i="361"/>
  <c r="AI21" i="361"/>
  <c r="AH21" i="361"/>
  <c r="AG21" i="361"/>
  <c r="AF21" i="361"/>
  <c r="AE21" i="361"/>
  <c r="AD21" i="361"/>
  <c r="AC21" i="361"/>
  <c r="AB21" i="361"/>
  <c r="AA21" i="361"/>
  <c r="Z21" i="361"/>
  <c r="Y21" i="361"/>
  <c r="X21" i="361"/>
  <c r="W21" i="361"/>
  <c r="V21" i="361"/>
  <c r="U21" i="361"/>
  <c r="T21" i="361"/>
  <c r="S21" i="361"/>
  <c r="R21" i="361"/>
  <c r="Q21" i="361"/>
  <c r="P21" i="361"/>
  <c r="O21" i="361"/>
  <c r="N21" i="361"/>
  <c r="M21" i="361"/>
  <c r="L21" i="361"/>
  <c r="K21" i="361"/>
  <c r="J21" i="361"/>
  <c r="I21" i="361"/>
  <c r="H21" i="361"/>
  <c r="AK20" i="361"/>
  <c r="AJ20" i="361"/>
  <c r="AI20" i="361"/>
  <c r="AH20" i="361"/>
  <c r="AG20" i="361"/>
  <c r="AF20" i="361"/>
  <c r="AE20" i="361"/>
  <c r="AD20" i="361"/>
  <c r="AC20" i="361"/>
  <c r="AB20" i="361"/>
  <c r="AA20" i="361"/>
  <c r="Z20" i="361"/>
  <c r="Y20" i="361"/>
  <c r="X20" i="361"/>
  <c r="W20" i="361"/>
  <c r="V20" i="361"/>
  <c r="U20" i="361"/>
  <c r="T20" i="361"/>
  <c r="S20" i="361"/>
  <c r="R20" i="361"/>
  <c r="Q20" i="361"/>
  <c r="P20" i="361"/>
  <c r="O20" i="361"/>
  <c r="N20" i="361"/>
  <c r="M20" i="361"/>
  <c r="L20" i="361"/>
  <c r="K20" i="361"/>
  <c r="J20" i="361"/>
  <c r="I20" i="361"/>
  <c r="H20" i="361"/>
  <c r="E20" i="361"/>
  <c r="F20" i="361"/>
  <c r="G20" i="361"/>
  <c r="AK21" i="360"/>
  <c r="AJ21" i="360"/>
  <c r="AI21" i="360"/>
  <c r="AH21" i="360"/>
  <c r="AG21" i="360"/>
  <c r="AF21" i="360"/>
  <c r="AE21" i="360"/>
  <c r="AD21" i="360"/>
  <c r="AC21" i="360"/>
  <c r="AB21" i="360"/>
  <c r="AA21" i="360"/>
  <c r="Z21" i="360"/>
  <c r="Y21" i="360"/>
  <c r="X21" i="360"/>
  <c r="W21" i="360"/>
  <c r="V21" i="360"/>
  <c r="U21" i="360"/>
  <c r="T21" i="360"/>
  <c r="S21" i="360"/>
  <c r="R21" i="360"/>
  <c r="Q21" i="360"/>
  <c r="P21" i="360"/>
  <c r="O21" i="360"/>
  <c r="N21" i="360"/>
  <c r="M21" i="360"/>
  <c r="L21" i="360"/>
  <c r="K21" i="360"/>
  <c r="J21" i="360"/>
  <c r="I21" i="360"/>
  <c r="H21" i="360"/>
  <c r="AK20" i="360"/>
  <c r="AJ20" i="360"/>
  <c r="AI20" i="360"/>
  <c r="AH20" i="360"/>
  <c r="AG20" i="360"/>
  <c r="AF20" i="360"/>
  <c r="AE20" i="360"/>
  <c r="AD20" i="360"/>
  <c r="AC20" i="360"/>
  <c r="AB20" i="360"/>
  <c r="AA20" i="360"/>
  <c r="Z20" i="360"/>
  <c r="Y20" i="360"/>
  <c r="X20" i="360"/>
  <c r="W20" i="360"/>
  <c r="V20" i="360"/>
  <c r="U20" i="360"/>
  <c r="T20" i="360"/>
  <c r="S20" i="360"/>
  <c r="R20" i="360"/>
  <c r="Q20" i="360"/>
  <c r="P20" i="360"/>
  <c r="O20" i="360"/>
  <c r="N20" i="360"/>
  <c r="M20" i="360"/>
  <c r="L20" i="360"/>
  <c r="K20" i="360"/>
  <c r="J20" i="360"/>
  <c r="I20" i="360"/>
  <c r="H20" i="360"/>
  <c r="F20" i="360"/>
  <c r="E20" i="360"/>
  <c r="G20" i="360"/>
  <c r="AK21" i="359"/>
  <c r="AJ21" i="359"/>
  <c r="AI21" i="359"/>
  <c r="AH21" i="359"/>
  <c r="AG21" i="359"/>
  <c r="AF21" i="359"/>
  <c r="AE21" i="359"/>
  <c r="AD21" i="359"/>
  <c r="AC21" i="359"/>
  <c r="AB21" i="359"/>
  <c r="AA21" i="359"/>
  <c r="Z21" i="359"/>
  <c r="Y21" i="359"/>
  <c r="X21" i="359"/>
  <c r="W21" i="359"/>
  <c r="V21" i="359"/>
  <c r="U21" i="359"/>
  <c r="T21" i="359"/>
  <c r="S21" i="359"/>
  <c r="R21" i="359"/>
  <c r="Q21" i="359"/>
  <c r="P21" i="359"/>
  <c r="O21" i="359"/>
  <c r="N21" i="359"/>
  <c r="M21" i="359"/>
  <c r="L21" i="359"/>
  <c r="K21" i="359"/>
  <c r="J21" i="359"/>
  <c r="I21" i="359"/>
  <c r="H21" i="359"/>
  <c r="AK20" i="359"/>
  <c r="AJ20" i="359"/>
  <c r="AI20" i="359"/>
  <c r="AH20" i="359"/>
  <c r="AG20" i="359"/>
  <c r="AF20" i="359"/>
  <c r="AE20" i="359"/>
  <c r="AD20" i="359"/>
  <c r="AC20" i="359"/>
  <c r="AB20" i="359"/>
  <c r="AA20" i="359"/>
  <c r="Z20" i="359"/>
  <c r="Y20" i="359"/>
  <c r="X20" i="359"/>
  <c r="W20" i="359"/>
  <c r="V20" i="359"/>
  <c r="U20" i="359"/>
  <c r="T20" i="359"/>
  <c r="S20" i="359"/>
  <c r="R20" i="359"/>
  <c r="Q20" i="359"/>
  <c r="P20" i="359"/>
  <c r="O20" i="359"/>
  <c r="N20" i="359"/>
  <c r="M20" i="359"/>
  <c r="L20" i="359"/>
  <c r="K20" i="359"/>
  <c r="J20" i="359"/>
  <c r="I20" i="359"/>
  <c r="H20" i="359"/>
  <c r="E20" i="359"/>
  <c r="F20" i="359"/>
  <c r="G20" i="359"/>
  <c r="AK21" i="358"/>
  <c r="AJ21" i="358"/>
  <c r="AI21" i="358"/>
  <c r="AH21" i="358"/>
  <c r="AG21" i="358"/>
  <c r="AF21" i="358"/>
  <c r="AE21" i="358"/>
  <c r="AD21" i="358"/>
  <c r="AC21" i="358"/>
  <c r="AB21" i="358"/>
  <c r="AA21" i="358"/>
  <c r="Z21" i="358"/>
  <c r="Y21" i="358"/>
  <c r="X21" i="358"/>
  <c r="W21" i="358"/>
  <c r="V21" i="358"/>
  <c r="U21" i="358"/>
  <c r="T21" i="358"/>
  <c r="S21" i="358"/>
  <c r="R21" i="358"/>
  <c r="Q21" i="358"/>
  <c r="P21" i="358"/>
  <c r="O21" i="358"/>
  <c r="N21" i="358"/>
  <c r="M21" i="358"/>
  <c r="L21" i="358"/>
  <c r="K21" i="358"/>
  <c r="J21" i="358"/>
  <c r="I21" i="358"/>
  <c r="H21" i="358"/>
  <c r="AK20" i="358"/>
  <c r="AJ20" i="358"/>
  <c r="AI20" i="358"/>
  <c r="AH20" i="358"/>
  <c r="AG20" i="358"/>
  <c r="AF20" i="358"/>
  <c r="AE20" i="358"/>
  <c r="AD20" i="358"/>
  <c r="AC20" i="358"/>
  <c r="AB20" i="358"/>
  <c r="AA20" i="358"/>
  <c r="Z20" i="358"/>
  <c r="Y20" i="358"/>
  <c r="X20" i="358"/>
  <c r="W20" i="358"/>
  <c r="V20" i="358"/>
  <c r="U20" i="358"/>
  <c r="T20" i="358"/>
  <c r="S20" i="358"/>
  <c r="R20" i="358"/>
  <c r="Q20" i="358"/>
  <c r="P20" i="358"/>
  <c r="O20" i="358"/>
  <c r="N20" i="358"/>
  <c r="M20" i="358"/>
  <c r="L20" i="358"/>
  <c r="K20" i="358"/>
  <c r="J20" i="358"/>
  <c r="I20" i="358"/>
  <c r="H20" i="358"/>
  <c r="E20" i="358"/>
  <c r="G20" i="358"/>
  <c r="F20" i="358"/>
  <c r="AK21" i="357"/>
  <c r="AJ21" i="357"/>
  <c r="AI21" i="357"/>
  <c r="AH21" i="357"/>
  <c r="AG21" i="357"/>
  <c r="AF21" i="357"/>
  <c r="AE21" i="357"/>
  <c r="AD21" i="357"/>
  <c r="AC21" i="357"/>
  <c r="AB21" i="357"/>
  <c r="AA21" i="357"/>
  <c r="Z21" i="357"/>
  <c r="Y21" i="357"/>
  <c r="X21" i="357"/>
  <c r="W21" i="357"/>
  <c r="V21" i="357"/>
  <c r="U21" i="357"/>
  <c r="T21" i="357"/>
  <c r="S21" i="357"/>
  <c r="R21" i="357"/>
  <c r="Q21" i="357"/>
  <c r="P21" i="357"/>
  <c r="O21" i="357"/>
  <c r="N21" i="357"/>
  <c r="M21" i="357"/>
  <c r="L21" i="357"/>
  <c r="K21" i="357"/>
  <c r="J21" i="357"/>
  <c r="I21" i="357"/>
  <c r="H21" i="357"/>
  <c r="AK20" i="357"/>
  <c r="AJ20" i="357"/>
  <c r="AI20" i="357"/>
  <c r="AH20" i="357"/>
  <c r="AG20" i="357"/>
  <c r="AF20" i="357"/>
  <c r="AE20" i="357"/>
  <c r="AD20" i="357"/>
  <c r="AC20" i="357"/>
  <c r="AB20" i="357"/>
  <c r="AA20" i="357"/>
  <c r="Z20" i="357"/>
  <c r="Y20" i="357"/>
  <c r="X20" i="357"/>
  <c r="W20" i="357"/>
  <c r="V20" i="357"/>
  <c r="U20" i="357"/>
  <c r="T20" i="357"/>
  <c r="S20" i="357"/>
  <c r="R20" i="357"/>
  <c r="Q20" i="357"/>
  <c r="P20" i="357"/>
  <c r="O20" i="357"/>
  <c r="N20" i="357"/>
  <c r="M20" i="357"/>
  <c r="L20" i="357"/>
  <c r="K20" i="357"/>
  <c r="J20" i="357"/>
  <c r="I20" i="357"/>
  <c r="H20" i="357"/>
  <c r="E20" i="357"/>
  <c r="G20" i="357"/>
  <c r="F20" i="357"/>
  <c r="AK21" i="356"/>
  <c r="AJ21" i="356"/>
  <c r="AI21" i="356"/>
  <c r="AH21" i="356"/>
  <c r="AG21" i="356"/>
  <c r="AF21" i="356"/>
  <c r="AE21" i="356"/>
  <c r="AD21" i="356"/>
  <c r="AC21" i="356"/>
  <c r="AB21" i="356"/>
  <c r="AA21" i="356"/>
  <c r="Z21" i="356"/>
  <c r="Y21" i="356"/>
  <c r="X21" i="356"/>
  <c r="W21" i="356"/>
  <c r="V21" i="356"/>
  <c r="U21" i="356"/>
  <c r="T21" i="356"/>
  <c r="S21" i="356"/>
  <c r="R21" i="356"/>
  <c r="Q21" i="356"/>
  <c r="P21" i="356"/>
  <c r="O21" i="356"/>
  <c r="N21" i="356"/>
  <c r="M21" i="356"/>
  <c r="L21" i="356"/>
  <c r="K21" i="356"/>
  <c r="J21" i="356"/>
  <c r="I21" i="356"/>
  <c r="H21" i="356"/>
  <c r="AK20" i="356"/>
  <c r="AJ20" i="356"/>
  <c r="AI20" i="356"/>
  <c r="AH20" i="356"/>
  <c r="AG20" i="356"/>
  <c r="AF20" i="356"/>
  <c r="AE20" i="356"/>
  <c r="AD20" i="356"/>
  <c r="AC20" i="356"/>
  <c r="AB20" i="356"/>
  <c r="AA20" i="356"/>
  <c r="Z20" i="356"/>
  <c r="Y20" i="356"/>
  <c r="X20" i="356"/>
  <c r="W20" i="356"/>
  <c r="V20" i="356"/>
  <c r="U20" i="356"/>
  <c r="T20" i="356"/>
  <c r="S20" i="356"/>
  <c r="R20" i="356"/>
  <c r="Q20" i="356"/>
  <c r="P20" i="356"/>
  <c r="O20" i="356"/>
  <c r="N20" i="356"/>
  <c r="M20" i="356"/>
  <c r="L20" i="356"/>
  <c r="K20" i="356"/>
  <c r="J20" i="356"/>
  <c r="I20" i="356"/>
  <c r="H20" i="356"/>
  <c r="E20" i="356"/>
  <c r="F20" i="356"/>
  <c r="G20" i="356"/>
  <c r="AK21" i="355"/>
  <c r="AJ21" i="355"/>
  <c r="AI21" i="355"/>
  <c r="AH21" i="355"/>
  <c r="AG21" i="355"/>
  <c r="AF21" i="355"/>
  <c r="AE21" i="355"/>
  <c r="AD21" i="355"/>
  <c r="AC21" i="355"/>
  <c r="AB21" i="355"/>
  <c r="AA21" i="355"/>
  <c r="Z21" i="355"/>
  <c r="Y21" i="355"/>
  <c r="X21" i="355"/>
  <c r="W21" i="355"/>
  <c r="V21" i="355"/>
  <c r="U21" i="355"/>
  <c r="T21" i="355"/>
  <c r="S21" i="355"/>
  <c r="R21" i="355"/>
  <c r="Q21" i="355"/>
  <c r="P21" i="355"/>
  <c r="O21" i="355"/>
  <c r="N21" i="355"/>
  <c r="M21" i="355"/>
  <c r="L21" i="355"/>
  <c r="K21" i="355"/>
  <c r="J21" i="355"/>
  <c r="I21" i="355"/>
  <c r="H21" i="355"/>
  <c r="AK20" i="355"/>
  <c r="AJ20" i="355"/>
  <c r="AI20" i="355"/>
  <c r="AH20" i="355"/>
  <c r="AG20" i="355"/>
  <c r="AF20" i="355"/>
  <c r="AE20" i="355"/>
  <c r="AD20" i="355"/>
  <c r="AC20" i="355"/>
  <c r="AB20" i="355"/>
  <c r="AA20" i="355"/>
  <c r="Z20" i="355"/>
  <c r="Y20" i="355"/>
  <c r="X20" i="355"/>
  <c r="W20" i="355"/>
  <c r="V20" i="355"/>
  <c r="U20" i="355"/>
  <c r="T20" i="355"/>
  <c r="S20" i="355"/>
  <c r="R20" i="355"/>
  <c r="Q20" i="355"/>
  <c r="P20" i="355"/>
  <c r="O20" i="355"/>
  <c r="N20" i="355"/>
  <c r="M20" i="355"/>
  <c r="L20" i="355"/>
  <c r="K20" i="355"/>
  <c r="J20" i="355"/>
  <c r="I20" i="355"/>
  <c r="H20" i="355"/>
  <c r="E20" i="355"/>
  <c r="G20" i="355"/>
  <c r="F20" i="355"/>
  <c r="AK21" i="354"/>
  <c r="AJ21" i="354"/>
  <c r="AI21" i="354"/>
  <c r="AH21" i="354"/>
  <c r="AG21" i="354"/>
  <c r="AF21" i="354"/>
  <c r="AE21" i="354"/>
  <c r="AD21" i="354"/>
  <c r="AC21" i="354"/>
  <c r="AB21" i="354"/>
  <c r="AA21" i="354"/>
  <c r="Z21" i="354"/>
  <c r="Y21" i="354"/>
  <c r="X21" i="354"/>
  <c r="W21" i="354"/>
  <c r="V21" i="354"/>
  <c r="U21" i="354"/>
  <c r="T21" i="354"/>
  <c r="S21" i="354"/>
  <c r="R21" i="354"/>
  <c r="Q21" i="354"/>
  <c r="P21" i="354"/>
  <c r="O21" i="354"/>
  <c r="N21" i="354"/>
  <c r="M21" i="354"/>
  <c r="L21" i="354"/>
  <c r="K21" i="354"/>
  <c r="J21" i="354"/>
  <c r="I21" i="354"/>
  <c r="H21" i="354"/>
  <c r="AK20" i="354"/>
  <c r="AJ20" i="354"/>
  <c r="AI20" i="354"/>
  <c r="AH20" i="354"/>
  <c r="AG20" i="354"/>
  <c r="AF20" i="354"/>
  <c r="AE20" i="354"/>
  <c r="AD20" i="354"/>
  <c r="AC20" i="354"/>
  <c r="AB20" i="354"/>
  <c r="AA20" i="354"/>
  <c r="Z20" i="354"/>
  <c r="Y20" i="354"/>
  <c r="X20" i="354"/>
  <c r="W20" i="354"/>
  <c r="V20" i="354"/>
  <c r="U20" i="354"/>
  <c r="T20" i="354"/>
  <c r="S20" i="354"/>
  <c r="R20" i="354"/>
  <c r="Q20" i="354"/>
  <c r="P20" i="354"/>
  <c r="O20" i="354"/>
  <c r="N20" i="354"/>
  <c r="M20" i="354"/>
  <c r="L20" i="354"/>
  <c r="K20" i="354"/>
  <c r="J20" i="354"/>
  <c r="I20" i="354"/>
  <c r="H20" i="354"/>
  <c r="E20" i="354"/>
  <c r="F20" i="354"/>
  <c r="G20" i="354"/>
  <c r="AK21" i="353"/>
  <c r="AJ21" i="353"/>
  <c r="AI21" i="353"/>
  <c r="AH21" i="353"/>
  <c r="AG21" i="353"/>
  <c r="AF21" i="353"/>
  <c r="AE21" i="353"/>
  <c r="AD21" i="353"/>
  <c r="AC21" i="353"/>
  <c r="AB21" i="353"/>
  <c r="AA21" i="353"/>
  <c r="Z21" i="353"/>
  <c r="Y21" i="353"/>
  <c r="X21" i="353"/>
  <c r="W21" i="353"/>
  <c r="V21" i="353"/>
  <c r="U21" i="353"/>
  <c r="T21" i="353"/>
  <c r="S21" i="353"/>
  <c r="R21" i="353"/>
  <c r="Q21" i="353"/>
  <c r="P21" i="353"/>
  <c r="O21" i="353"/>
  <c r="N21" i="353"/>
  <c r="M21" i="353"/>
  <c r="L21" i="353"/>
  <c r="K21" i="353"/>
  <c r="J21" i="353"/>
  <c r="I21" i="353"/>
  <c r="H21" i="353"/>
  <c r="AK20" i="353"/>
  <c r="AJ20" i="353"/>
  <c r="AI20" i="353"/>
  <c r="AH20" i="353"/>
  <c r="AG20" i="353"/>
  <c r="AF20" i="353"/>
  <c r="AE20" i="353"/>
  <c r="AD20" i="353"/>
  <c r="AC20" i="353"/>
  <c r="AB20" i="353"/>
  <c r="AA20" i="353"/>
  <c r="Z20" i="353"/>
  <c r="Y20" i="353"/>
  <c r="X20" i="353"/>
  <c r="W20" i="353"/>
  <c r="V20" i="353"/>
  <c r="U20" i="353"/>
  <c r="T20" i="353"/>
  <c r="S20" i="353"/>
  <c r="R20" i="353"/>
  <c r="Q20" i="353"/>
  <c r="P20" i="353"/>
  <c r="O20" i="353"/>
  <c r="N20" i="353"/>
  <c r="M20" i="353"/>
  <c r="L20" i="353"/>
  <c r="K20" i="353"/>
  <c r="J20" i="353"/>
  <c r="I20" i="353"/>
  <c r="H20" i="353"/>
  <c r="E20" i="353"/>
  <c r="F20" i="353"/>
  <c r="G20" i="353"/>
  <c r="AK21" i="352"/>
  <c r="AJ21" i="352"/>
  <c r="AI21" i="352"/>
  <c r="AH21" i="352"/>
  <c r="AG21" i="352"/>
  <c r="AF21" i="352"/>
  <c r="AE21" i="352"/>
  <c r="AD21" i="352"/>
  <c r="AC21" i="352"/>
  <c r="AB21" i="352"/>
  <c r="AA21" i="352"/>
  <c r="Z21" i="352"/>
  <c r="Y21" i="352"/>
  <c r="X21" i="352"/>
  <c r="W21" i="352"/>
  <c r="V21" i="352"/>
  <c r="U21" i="352"/>
  <c r="T21" i="352"/>
  <c r="S21" i="352"/>
  <c r="R21" i="352"/>
  <c r="Q21" i="352"/>
  <c r="P21" i="352"/>
  <c r="O21" i="352"/>
  <c r="N21" i="352"/>
  <c r="M21" i="352"/>
  <c r="L21" i="352"/>
  <c r="K21" i="352"/>
  <c r="J21" i="352"/>
  <c r="I21" i="352"/>
  <c r="H21" i="352"/>
  <c r="AK20" i="352"/>
  <c r="AJ20" i="352"/>
  <c r="AI20" i="352"/>
  <c r="AH20" i="352"/>
  <c r="AG20" i="352"/>
  <c r="AF20" i="352"/>
  <c r="AE20" i="352"/>
  <c r="AD20" i="352"/>
  <c r="AC20" i="352"/>
  <c r="AB20" i="352"/>
  <c r="AA20" i="352"/>
  <c r="Z20" i="352"/>
  <c r="Y20" i="352"/>
  <c r="X20" i="352"/>
  <c r="W20" i="352"/>
  <c r="V20" i="352"/>
  <c r="U20" i="352"/>
  <c r="T20" i="352"/>
  <c r="S20" i="352"/>
  <c r="R20" i="352"/>
  <c r="Q20" i="352"/>
  <c r="P20" i="352"/>
  <c r="O20" i="352"/>
  <c r="N20" i="352"/>
  <c r="M20" i="352"/>
  <c r="L20" i="352"/>
  <c r="K20" i="352"/>
  <c r="J20" i="352"/>
  <c r="I20" i="352"/>
  <c r="H20" i="352"/>
  <c r="E20" i="352"/>
  <c r="F20" i="352"/>
  <c r="G20" i="352"/>
  <c r="AK21" i="351"/>
  <c r="AJ21" i="351"/>
  <c r="AI21" i="351"/>
  <c r="AH21" i="351"/>
  <c r="AG21" i="351"/>
  <c r="AF21" i="351"/>
  <c r="AE21" i="351"/>
  <c r="AD21" i="351"/>
  <c r="AC21" i="351"/>
  <c r="AB21" i="351"/>
  <c r="AA21" i="351"/>
  <c r="Z21" i="351"/>
  <c r="Y21" i="351"/>
  <c r="X21" i="351"/>
  <c r="W21" i="351"/>
  <c r="V21" i="351"/>
  <c r="U21" i="351"/>
  <c r="T21" i="351"/>
  <c r="S21" i="351"/>
  <c r="R21" i="351"/>
  <c r="Q21" i="351"/>
  <c r="P21" i="351"/>
  <c r="O21" i="351"/>
  <c r="N21" i="351"/>
  <c r="M21" i="351"/>
  <c r="L21" i="351"/>
  <c r="K21" i="351"/>
  <c r="J21" i="351"/>
  <c r="I21" i="351"/>
  <c r="H21" i="351"/>
  <c r="AK20" i="351"/>
  <c r="AJ20" i="351"/>
  <c r="AI20" i="351"/>
  <c r="AH20" i="351"/>
  <c r="AG20" i="351"/>
  <c r="AF20" i="351"/>
  <c r="AE20" i="351"/>
  <c r="AD20" i="351"/>
  <c r="AC20" i="351"/>
  <c r="AB20" i="351"/>
  <c r="AA20" i="351"/>
  <c r="Z20" i="351"/>
  <c r="Y20" i="351"/>
  <c r="X20" i="351"/>
  <c r="W20" i="351"/>
  <c r="V20" i="351"/>
  <c r="U20" i="351"/>
  <c r="T20" i="351"/>
  <c r="S20" i="351"/>
  <c r="R20" i="351"/>
  <c r="Q20" i="351"/>
  <c r="P20" i="351"/>
  <c r="O20" i="351"/>
  <c r="N20" i="351"/>
  <c r="M20" i="351"/>
  <c r="L20" i="351"/>
  <c r="K20" i="351"/>
  <c r="J20" i="351"/>
  <c r="I20" i="351"/>
  <c r="H20" i="351"/>
  <c r="E20" i="351"/>
  <c r="G20" i="351"/>
  <c r="F20" i="351"/>
  <c r="AK20" i="230"/>
  <c r="H21" i="230"/>
  <c r="H20" i="230"/>
  <c r="F9" i="380" l="1"/>
  <c r="K9" i="47"/>
  <c r="F17" i="380"/>
  <c r="K17" i="47"/>
  <c r="F8" i="380"/>
  <c r="K8" i="47"/>
  <c r="F10" i="380"/>
  <c r="K10" i="47"/>
  <c r="F18" i="380"/>
  <c r="K18" i="47"/>
  <c r="F11" i="380"/>
  <c r="K11" i="47"/>
  <c r="F19" i="380"/>
  <c r="K19" i="47"/>
  <c r="F12" i="380"/>
  <c r="K12" i="47"/>
  <c r="F13" i="380"/>
  <c r="K13" i="47"/>
  <c r="F16" i="380"/>
  <c r="K16" i="47"/>
  <c r="F6" i="380"/>
  <c r="K6" i="47"/>
  <c r="F14" i="380"/>
  <c r="K14" i="47"/>
  <c r="F7" i="380"/>
  <c r="K7" i="47"/>
  <c r="F15" i="380"/>
  <c r="K15" i="47"/>
  <c r="H18" i="47"/>
  <c r="AL63" i="339"/>
  <c r="AK63" i="339"/>
  <c r="AJ63" i="339"/>
  <c r="AI63" i="339"/>
  <c r="AH63" i="339"/>
  <c r="AG63" i="339"/>
  <c r="AF63" i="339"/>
  <c r="AE63" i="339"/>
  <c r="AD63" i="339"/>
  <c r="AC63" i="339"/>
  <c r="AB63" i="339"/>
  <c r="AA63" i="339"/>
  <c r="Z63" i="339"/>
  <c r="Y63" i="339"/>
  <c r="X63" i="339"/>
  <c r="W63" i="339"/>
  <c r="V63" i="339"/>
  <c r="U63" i="339"/>
  <c r="T63" i="339"/>
  <c r="S63" i="339"/>
  <c r="R63" i="339"/>
  <c r="Q63" i="339"/>
  <c r="P63" i="339"/>
  <c r="O63" i="339"/>
  <c r="N63" i="339"/>
  <c r="M63" i="339"/>
  <c r="L63" i="339"/>
  <c r="K63" i="339"/>
  <c r="J63" i="339"/>
  <c r="I63" i="339"/>
  <c r="H63" i="339"/>
  <c r="AL62" i="339"/>
  <c r="AK62" i="339"/>
  <c r="AJ62" i="339"/>
  <c r="AI62" i="339"/>
  <c r="AH62" i="339"/>
  <c r="AG62" i="339"/>
  <c r="AF62" i="339"/>
  <c r="AE62" i="339"/>
  <c r="AD62" i="339"/>
  <c r="AC62" i="339"/>
  <c r="AB62" i="339"/>
  <c r="AA62" i="339"/>
  <c r="Z62" i="339"/>
  <c r="Y62" i="339"/>
  <c r="X62" i="339"/>
  <c r="W62" i="339"/>
  <c r="V62" i="339"/>
  <c r="U62" i="339"/>
  <c r="T62" i="339"/>
  <c r="S62" i="339"/>
  <c r="R62" i="339"/>
  <c r="Q62" i="339"/>
  <c r="P62" i="339"/>
  <c r="O62" i="339"/>
  <c r="N62" i="339"/>
  <c r="M62" i="339"/>
  <c r="L62" i="339"/>
  <c r="K62" i="339"/>
  <c r="J62" i="339"/>
  <c r="I62" i="339"/>
  <c r="H62" i="339"/>
  <c r="D62" i="339"/>
  <c r="E61" i="339"/>
  <c r="E60" i="339"/>
  <c r="E59" i="339"/>
  <c r="H16" i="47"/>
  <c r="E58" i="339"/>
  <c r="E57" i="339"/>
  <c r="E56" i="339"/>
  <c r="H13" i="47"/>
  <c r="H12" i="47"/>
  <c r="E53" i="339"/>
  <c r="H10" i="47"/>
  <c r="E52" i="339"/>
  <c r="E51" i="339"/>
  <c r="H8" i="47"/>
  <c r="E50" i="339"/>
  <c r="E49" i="339"/>
  <c r="H6" i="47"/>
  <c r="E48" i="339"/>
  <c r="G15" i="47"/>
  <c r="AL22" i="47"/>
  <c r="AK41" i="339"/>
  <c r="AL41" i="339"/>
  <c r="AL42" i="339"/>
  <c r="AK42" i="339"/>
  <c r="AJ42" i="339"/>
  <c r="AI42" i="339"/>
  <c r="AH42" i="339"/>
  <c r="AG42" i="339"/>
  <c r="AF42" i="339"/>
  <c r="AE42" i="339"/>
  <c r="AD42" i="339"/>
  <c r="AC42" i="339"/>
  <c r="AB42" i="339"/>
  <c r="AA42" i="339"/>
  <c r="Z42" i="339"/>
  <c r="Y42" i="339"/>
  <c r="X42" i="339"/>
  <c r="W42" i="339"/>
  <c r="V42" i="339"/>
  <c r="U42" i="339"/>
  <c r="T42" i="339"/>
  <c r="S42" i="339"/>
  <c r="R42" i="339"/>
  <c r="Q42" i="339"/>
  <c r="P42" i="339"/>
  <c r="O42" i="339"/>
  <c r="N42" i="339"/>
  <c r="M42" i="339"/>
  <c r="L42" i="339"/>
  <c r="K42" i="339"/>
  <c r="J42" i="339"/>
  <c r="I42" i="339"/>
  <c r="H42" i="339"/>
  <c r="AJ41" i="339"/>
  <c r="AI41" i="339"/>
  <c r="AH41" i="339"/>
  <c r="AG41" i="339"/>
  <c r="AF41" i="339"/>
  <c r="AE41" i="339"/>
  <c r="AD41" i="339"/>
  <c r="AC41" i="339"/>
  <c r="AB41" i="339"/>
  <c r="AA41" i="339"/>
  <c r="Z41" i="339"/>
  <c r="Y41" i="339"/>
  <c r="X41" i="339"/>
  <c r="W41" i="339"/>
  <c r="V41" i="339"/>
  <c r="U41" i="339"/>
  <c r="T41" i="339"/>
  <c r="S41" i="339"/>
  <c r="R41" i="339"/>
  <c r="Q41" i="339"/>
  <c r="P41" i="339"/>
  <c r="O41" i="339"/>
  <c r="N41" i="339"/>
  <c r="M41" i="339"/>
  <c r="L41" i="339"/>
  <c r="K41" i="339"/>
  <c r="J41" i="339"/>
  <c r="I41" i="339"/>
  <c r="H41" i="339"/>
  <c r="D41" i="339"/>
  <c r="G19" i="47"/>
  <c r="E39" i="339"/>
  <c r="E38" i="339"/>
  <c r="G16" i="47"/>
  <c r="E37" i="339"/>
  <c r="E36" i="339"/>
  <c r="G14" i="47"/>
  <c r="E34" i="339"/>
  <c r="E33" i="339"/>
  <c r="E32" i="339"/>
  <c r="E31" i="339"/>
  <c r="E30" i="339"/>
  <c r="G8" i="47"/>
  <c r="G7" i="47"/>
  <c r="E27" i="339"/>
  <c r="F20" i="380" l="1"/>
  <c r="J6" i="47"/>
  <c r="K21" i="47"/>
  <c r="K20" i="47"/>
  <c r="E35" i="339"/>
  <c r="H17" i="47"/>
  <c r="E40" i="339"/>
  <c r="H15" i="47"/>
  <c r="H14" i="47"/>
  <c r="G18" i="47"/>
  <c r="H9" i="47"/>
  <c r="G17" i="47"/>
  <c r="H19" i="47"/>
  <c r="H7" i="47"/>
  <c r="E55" i="339"/>
  <c r="E54" i="339"/>
  <c r="H11" i="47"/>
  <c r="G13" i="47"/>
  <c r="G6" i="47"/>
  <c r="G12" i="47"/>
  <c r="G11" i="47"/>
  <c r="G10" i="47"/>
  <c r="G9" i="47"/>
  <c r="E28" i="339"/>
  <c r="F42" i="339"/>
  <c r="E29" i="339"/>
  <c r="H20" i="47" l="1"/>
  <c r="H21" i="47"/>
  <c r="E62" i="339"/>
  <c r="G20" i="47"/>
  <c r="G21" i="47"/>
  <c r="E41" i="339"/>
  <c r="E20" i="230"/>
  <c r="W22" i="47" l="1"/>
  <c r="S20" i="339"/>
  <c r="L22" i="47"/>
  <c r="H20" i="339"/>
  <c r="F19" i="47"/>
  <c r="F18" i="47"/>
  <c r="F17" i="47"/>
  <c r="F16" i="47"/>
  <c r="F15" i="47"/>
  <c r="F14" i="47"/>
  <c r="F13" i="47"/>
  <c r="F12" i="47"/>
  <c r="F11" i="47"/>
  <c r="F10" i="47"/>
  <c r="F9" i="47"/>
  <c r="F8" i="47"/>
  <c r="F7" i="47"/>
  <c r="F6" i="47"/>
  <c r="M20" i="47"/>
  <c r="D20" i="339"/>
  <c r="F21" i="47" l="1"/>
  <c r="F20" i="47"/>
  <c r="F20" i="230"/>
  <c r="K23" i="47"/>
  <c r="AO22" i="47"/>
  <c r="AN22" i="47"/>
  <c r="AM22" i="47"/>
  <c r="AK22" i="47"/>
  <c r="AJ22" i="47"/>
  <c r="AI22" i="47"/>
  <c r="AH22" i="47"/>
  <c r="AG22" i="47"/>
  <c r="AF22" i="47"/>
  <c r="AE22" i="47"/>
  <c r="AD22" i="47"/>
  <c r="AC22" i="47"/>
  <c r="AB22" i="47"/>
  <c r="AA22" i="47"/>
  <c r="Z22" i="47"/>
  <c r="Y22" i="47"/>
  <c r="X22" i="47"/>
  <c r="V22" i="47"/>
  <c r="U22" i="47"/>
  <c r="P21" i="339"/>
  <c r="T22" i="47" s="1"/>
  <c r="O21" i="339"/>
  <c r="S22" i="47" s="1"/>
  <c r="N21" i="339"/>
  <c r="R22" i="47" s="1"/>
  <c r="M21" i="339"/>
  <c r="Q22" i="47" s="1"/>
  <c r="L21" i="339"/>
  <c r="P22" i="47" s="1"/>
  <c r="K21" i="339"/>
  <c r="O22" i="47" s="1"/>
  <c r="N22" i="47"/>
  <c r="M22" i="47"/>
  <c r="AL20" i="339"/>
  <c r="AK20" i="339"/>
  <c r="AJ20" i="339"/>
  <c r="AI20" i="339"/>
  <c r="AH20" i="339"/>
  <c r="AG20" i="339"/>
  <c r="AF20" i="339"/>
  <c r="AE20" i="339"/>
  <c r="AD20" i="339"/>
  <c r="AC20" i="339"/>
  <c r="AB20" i="339"/>
  <c r="AA20" i="339"/>
  <c r="Z20" i="339"/>
  <c r="Y20" i="339"/>
  <c r="X20" i="339"/>
  <c r="W20" i="339"/>
  <c r="V20" i="339"/>
  <c r="U20" i="339"/>
  <c r="T20" i="339"/>
  <c r="R20" i="339"/>
  <c r="Q20" i="339"/>
  <c r="P20" i="339"/>
  <c r="O20" i="339"/>
  <c r="N20" i="339"/>
  <c r="M20" i="339"/>
  <c r="L20" i="339"/>
  <c r="K20" i="339"/>
  <c r="J20" i="339"/>
  <c r="I20" i="339"/>
  <c r="E19" i="339"/>
  <c r="E18" i="339"/>
  <c r="E17" i="339"/>
  <c r="E16" i="339"/>
  <c r="E15" i="339"/>
  <c r="E14" i="339"/>
  <c r="E13" i="339"/>
  <c r="E12" i="339"/>
  <c r="Y20" i="230"/>
  <c r="Z20" i="230"/>
  <c r="AA20" i="230"/>
  <c r="AB20" i="230"/>
  <c r="AC20" i="230"/>
  <c r="AD20" i="230"/>
  <c r="AE20" i="230"/>
  <c r="AF20" i="230"/>
  <c r="AG20" i="230"/>
  <c r="AH20" i="230"/>
  <c r="I21" i="230"/>
  <c r="J21" i="230"/>
  <c r="K21" i="230"/>
  <c r="L21" i="230"/>
  <c r="M21" i="230"/>
  <c r="N21" i="230"/>
  <c r="O21" i="230"/>
  <c r="P21" i="230"/>
  <c r="Q21" i="230"/>
  <c r="R21" i="230"/>
  <c r="S21" i="230"/>
  <c r="T21" i="230"/>
  <c r="U21" i="230"/>
  <c r="V21" i="230"/>
  <c r="W21" i="230"/>
  <c r="X21" i="230"/>
  <c r="Y21" i="230"/>
  <c r="Z21" i="230"/>
  <c r="AA21" i="230"/>
  <c r="AB21" i="230"/>
  <c r="AC21" i="230"/>
  <c r="AD21" i="230"/>
  <c r="AE21" i="230"/>
  <c r="AF21" i="230"/>
  <c r="AG21" i="230"/>
  <c r="AH21" i="230"/>
  <c r="AI21" i="230"/>
  <c r="AJ21" i="230"/>
  <c r="AK21" i="230"/>
  <c r="D20" i="47"/>
  <c r="E20" i="339" l="1"/>
  <c r="I20" i="230"/>
  <c r="I6" i="47" l="1"/>
  <c r="X21" i="47"/>
  <c r="X23" i="47" s="1"/>
  <c r="U21" i="47"/>
  <c r="U23" i="47" s="1"/>
  <c r="Q21" i="47"/>
  <c r="Q23" i="47" s="1"/>
  <c r="AL21" i="47"/>
  <c r="AL23" i="47" s="1"/>
  <c r="E6" i="47" l="1"/>
  <c r="AC21" i="47"/>
  <c r="AC23" i="47" s="1"/>
  <c r="Y21" i="47"/>
  <c r="Y23" i="47" s="1"/>
  <c r="AO21" i="47"/>
  <c r="AO23" i="47" s="1"/>
  <c r="S21" i="47"/>
  <c r="S23" i="47" s="1"/>
  <c r="R21" i="47"/>
  <c r="R23" i="47" s="1"/>
  <c r="M21" i="47"/>
  <c r="M23" i="47" s="1"/>
  <c r="O21" i="47"/>
  <c r="O23" i="47" s="1"/>
  <c r="N21" i="47"/>
  <c r="N23" i="47" s="1"/>
  <c r="AN21" i="47"/>
  <c r="AN23" i="47" s="1"/>
  <c r="W21" i="47"/>
  <c r="W23" i="47" s="1"/>
  <c r="AM21" i="47"/>
  <c r="AM23" i="47" s="1"/>
  <c r="V21" i="47"/>
  <c r="V23" i="47" s="1"/>
  <c r="AG21" i="47"/>
  <c r="AG23" i="47" s="1"/>
  <c r="AE21" i="47"/>
  <c r="AE23" i="47" s="1"/>
  <c r="AJ21" i="47"/>
  <c r="AJ23" i="47" s="1"/>
  <c r="AA21" i="47"/>
  <c r="AA23" i="47" s="1"/>
  <c r="AI21" i="47"/>
  <c r="AI23" i="47" s="1"/>
  <c r="T21" i="47"/>
  <c r="T23" i="47" s="1"/>
  <c r="AB21" i="47"/>
  <c r="AB23" i="47" s="1"/>
  <c r="P21" i="47"/>
  <c r="P23" i="47" s="1"/>
  <c r="AD21" i="47"/>
  <c r="AD23" i="47" s="1"/>
  <c r="Z21" i="47"/>
  <c r="Z23" i="47" s="1"/>
  <c r="AK21" i="47"/>
  <c r="AK23" i="47" s="1"/>
  <c r="AF21" i="47"/>
  <c r="AF23" i="47" s="1"/>
  <c r="AH21" i="47"/>
  <c r="AH23" i="47" s="1"/>
  <c r="AH20" i="47"/>
  <c r="AD20" i="47"/>
  <c r="AC20" i="47"/>
  <c r="AF20" i="47"/>
  <c r="AG20" i="47"/>
  <c r="AK20" i="47"/>
  <c r="AL20" i="47"/>
  <c r="AN20" i="47"/>
  <c r="AM20" i="47"/>
  <c r="AE20" i="47"/>
  <c r="AI20" i="47"/>
  <c r="AO20" i="47"/>
  <c r="AJ20" i="47"/>
  <c r="L13" i="47" l="1"/>
  <c r="J13" i="47" s="1"/>
  <c r="L14" i="47"/>
  <c r="J14" i="47" s="1"/>
  <c r="L15" i="47"/>
  <c r="J15" i="47" s="1"/>
  <c r="L16" i="47"/>
  <c r="J16" i="47" s="1"/>
  <c r="L19" i="47" l="1"/>
  <c r="J19" i="47" s="1"/>
  <c r="L7" i="47"/>
  <c r="J7" i="47" s="1"/>
  <c r="L8" i="47"/>
  <c r="J8" i="47" s="1"/>
  <c r="L9" i="47"/>
  <c r="J9" i="47" s="1"/>
  <c r="L10" i="47"/>
  <c r="J10" i="47" s="1"/>
  <c r="L11" i="47"/>
  <c r="J11" i="47" s="1"/>
  <c r="L12" i="47"/>
  <c r="J12" i="47" s="1"/>
  <c r="L17" i="47"/>
  <c r="J17" i="47" s="1"/>
  <c r="L18" i="47"/>
  <c r="J18" i="47" s="1"/>
  <c r="W20" i="230"/>
  <c r="X20" i="230"/>
  <c r="AI20" i="230"/>
  <c r="AJ20" i="230"/>
  <c r="V20" i="230"/>
  <c r="U20" i="230"/>
  <c r="T20" i="230"/>
  <c r="S20" i="230"/>
  <c r="R20" i="230"/>
  <c r="Q20" i="230"/>
  <c r="P20" i="230"/>
  <c r="O20" i="230"/>
  <c r="N20" i="230"/>
  <c r="M20" i="230"/>
  <c r="L20" i="230"/>
  <c r="K20" i="230"/>
  <c r="J20" i="230"/>
  <c r="J21" i="47" l="1"/>
  <c r="J20" i="47"/>
  <c r="E13" i="47"/>
  <c r="I13" i="47"/>
  <c r="L21" i="47"/>
  <c r="L23" i="47" s="1"/>
  <c r="L20" i="47"/>
  <c r="G20" i="230"/>
  <c r="AB20" i="47" l="1"/>
  <c r="AA20" i="47"/>
  <c r="Z20" i="47"/>
  <c r="Y20" i="47"/>
  <c r="X20" i="47"/>
  <c r="W20" i="47"/>
  <c r="V20" i="47"/>
  <c r="U20" i="47"/>
  <c r="T20" i="47"/>
  <c r="S20" i="47"/>
  <c r="R20" i="47"/>
  <c r="Q20" i="47"/>
  <c r="P20" i="47"/>
  <c r="O20" i="47"/>
  <c r="N20" i="47"/>
  <c r="I9" i="47"/>
  <c r="E16" i="47" l="1"/>
  <c r="I16" i="47"/>
  <c r="E11" i="47"/>
  <c r="I11" i="47"/>
  <c r="E19" i="47"/>
  <c r="I19" i="47"/>
  <c r="E15" i="47"/>
  <c r="I15" i="47"/>
  <c r="E14" i="47"/>
  <c r="I14" i="47"/>
  <c r="E18" i="47"/>
  <c r="I18" i="47"/>
  <c r="E12" i="47"/>
  <c r="I12" i="47"/>
  <c r="E17" i="47"/>
  <c r="I17" i="47"/>
  <c r="E10" i="47"/>
  <c r="I10" i="47"/>
  <c r="E8" i="47"/>
  <c r="I8" i="47"/>
  <c r="E7" i="47"/>
  <c r="I7" i="47"/>
  <c r="E9" i="47"/>
  <c r="I22" i="47"/>
  <c r="E20" i="47" l="1"/>
  <c r="I20" i="47"/>
  <c r="I21" i="4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Milla PARK</author>
  </authors>
  <commentList>
    <comment ref="G5" authorId="0" shapeId="0" xr:uid="{00000000-0006-0000-0000-000001000000}">
      <text>
        <r>
          <rPr>
            <b/>
            <sz val="12"/>
            <color indexed="81"/>
            <rFont val="Tahoma"/>
            <family val="2"/>
          </rPr>
          <t>Milla PARK:</t>
        </r>
        <r>
          <rPr>
            <sz val="12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돋움"/>
            <family val="3"/>
            <charset val="129"/>
          </rPr>
          <t>파손</t>
        </r>
        <r>
          <rPr>
            <sz val="12"/>
            <color indexed="81"/>
            <rFont val="Tahoma"/>
            <family val="2"/>
          </rPr>
          <t xml:space="preserve">, </t>
        </r>
        <r>
          <rPr>
            <sz val="12"/>
            <color indexed="81"/>
            <rFont val="돋움"/>
            <family val="3"/>
            <charset val="129"/>
          </rPr>
          <t>유통기한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임박품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 xml:space="preserve">등
</t>
        </r>
        <r>
          <rPr>
            <sz val="12"/>
            <color indexed="81"/>
            <rFont val="Tahoma"/>
            <family val="2"/>
          </rPr>
          <t>TR</t>
        </r>
        <r>
          <rPr>
            <sz val="12"/>
            <color indexed="81"/>
            <rFont val="돋움"/>
            <family val="3"/>
            <charset val="129"/>
          </rPr>
          <t>보낸것</t>
        </r>
      </text>
    </comment>
  </commentList>
</comments>
</file>

<file path=xl/sharedStrings.xml><?xml version="1.0" encoding="utf-8"?>
<sst xmlns="http://schemas.openxmlformats.org/spreadsheetml/2006/main" count="1177" uniqueCount="77">
  <si>
    <t>No.</t>
  </si>
  <si>
    <t>Room No.</t>
  </si>
  <si>
    <t>ITEM
CODE</t>
    <phoneticPr fontId="2" type="noConversion"/>
  </si>
  <si>
    <t>ITEM</t>
    <phoneticPr fontId="2" type="noConversion"/>
  </si>
  <si>
    <t>SALES
PRICE</t>
    <phoneticPr fontId="2" type="noConversion"/>
  </si>
  <si>
    <t>TOTAL
AMOUNT</t>
    <phoneticPr fontId="2" type="noConversion"/>
  </si>
  <si>
    <t>TOTAL
SOLD</t>
    <phoneticPr fontId="2" type="noConversion"/>
  </si>
  <si>
    <t>DATE</t>
    <phoneticPr fontId="2" type="noConversion"/>
  </si>
  <si>
    <t>TOTAL</t>
    <phoneticPr fontId="2" type="noConversion"/>
  </si>
  <si>
    <t>TOTAL
POSTING</t>
    <phoneticPr fontId="2" type="noConversion"/>
  </si>
  <si>
    <r>
      <rPr>
        <b/>
        <sz val="13"/>
        <color theme="1"/>
        <rFont val="Wingdings"/>
        <charset val="2"/>
      </rPr>
      <t>n</t>
    </r>
    <r>
      <rPr>
        <b/>
        <sz val="13"/>
        <color theme="1"/>
        <rFont val="Arial"/>
        <family val="2"/>
      </rPr>
      <t xml:space="preserve"> MONTHLY POSTING</t>
    </r>
    <phoneticPr fontId="2" type="noConversion"/>
  </si>
  <si>
    <r>
      <rPr>
        <b/>
        <sz val="13"/>
        <color theme="1"/>
        <rFont val="Wingdings"/>
        <charset val="2"/>
      </rPr>
      <t>n</t>
    </r>
    <r>
      <rPr>
        <b/>
        <sz val="13"/>
        <color theme="1"/>
        <rFont val="Arial"/>
        <family val="2"/>
      </rPr>
      <t xml:space="preserve"> MONTHLY COMP</t>
    </r>
    <phoneticPr fontId="2" type="noConversion"/>
  </si>
  <si>
    <r>
      <t xml:space="preserve">Potato Chip
</t>
    </r>
    <r>
      <rPr>
        <sz val="10.5"/>
        <color theme="1"/>
        <rFont val="돋움"/>
        <family val="3"/>
        <charset val="129"/>
      </rPr>
      <t>감자칩</t>
    </r>
    <phoneticPr fontId="2" type="noConversion"/>
  </si>
  <si>
    <r>
      <t xml:space="preserve">Haribo Jelly 
</t>
    </r>
    <r>
      <rPr>
        <sz val="10.5"/>
        <color theme="1"/>
        <rFont val="돋움"/>
        <family val="3"/>
        <charset val="129"/>
      </rPr>
      <t>하리보</t>
    </r>
    <phoneticPr fontId="2" type="noConversion"/>
  </si>
  <si>
    <r>
      <t xml:space="preserve">Fried Squid 
</t>
    </r>
    <r>
      <rPr>
        <sz val="10.5"/>
        <color theme="1"/>
        <rFont val="돋움"/>
        <family val="3"/>
        <charset val="129"/>
      </rPr>
      <t>오징어</t>
    </r>
    <phoneticPr fontId="2" type="noConversion"/>
  </si>
  <si>
    <r>
      <t xml:space="preserve">Evian 
</t>
    </r>
    <r>
      <rPr>
        <sz val="10.5"/>
        <color theme="1"/>
        <rFont val="돋움"/>
        <family val="3"/>
        <charset val="129"/>
      </rPr>
      <t>에비앙</t>
    </r>
    <phoneticPr fontId="2" type="noConversion"/>
  </si>
  <si>
    <r>
      <t xml:space="preserve">Coke 
</t>
    </r>
    <r>
      <rPr>
        <sz val="10.5"/>
        <color theme="1"/>
        <rFont val="돋움"/>
        <family val="3"/>
        <charset val="129"/>
      </rPr>
      <t>콜라</t>
    </r>
    <phoneticPr fontId="2" type="noConversion"/>
  </si>
  <si>
    <r>
      <t xml:space="preserve">Zero Coke 
</t>
    </r>
    <r>
      <rPr>
        <sz val="10.5"/>
        <color theme="1"/>
        <rFont val="돋움"/>
        <family val="3"/>
        <charset val="129"/>
      </rPr>
      <t>제로</t>
    </r>
    <r>
      <rPr>
        <sz val="10.5"/>
        <color theme="1"/>
        <rFont val="Arial"/>
        <family val="2"/>
      </rPr>
      <t xml:space="preserve"> </t>
    </r>
    <r>
      <rPr>
        <sz val="10.5"/>
        <color theme="1"/>
        <rFont val="돋움"/>
        <family val="3"/>
        <charset val="129"/>
      </rPr>
      <t>콜라</t>
    </r>
    <phoneticPr fontId="2" type="noConversion"/>
  </si>
  <si>
    <r>
      <t xml:space="preserve">Sprite 
</t>
    </r>
    <r>
      <rPr>
        <sz val="10.5"/>
        <color theme="1"/>
        <rFont val="돋움"/>
        <family val="3"/>
        <charset val="129"/>
      </rPr>
      <t>스프라이트</t>
    </r>
    <phoneticPr fontId="2" type="noConversion"/>
  </si>
  <si>
    <r>
      <t xml:space="preserve">Red Bull 
</t>
    </r>
    <r>
      <rPr>
        <sz val="10.5"/>
        <color theme="1"/>
        <rFont val="돋움"/>
        <family val="3"/>
        <charset val="129"/>
      </rPr>
      <t>레드불</t>
    </r>
    <phoneticPr fontId="2" type="noConversion"/>
  </si>
  <si>
    <r>
      <t xml:space="preserve">Budweiser 
</t>
    </r>
    <r>
      <rPr>
        <sz val="10.5"/>
        <color theme="1"/>
        <rFont val="돋움"/>
        <family val="3"/>
        <charset val="129"/>
      </rPr>
      <t>버드와이저</t>
    </r>
    <phoneticPr fontId="2" type="noConversion"/>
  </si>
  <si>
    <r>
      <t xml:space="preserve">Cass 
</t>
    </r>
    <r>
      <rPr>
        <sz val="10.5"/>
        <color theme="1"/>
        <rFont val="돋움"/>
        <family val="3"/>
        <charset val="129"/>
      </rPr>
      <t>카스</t>
    </r>
    <phoneticPr fontId="2" type="noConversion"/>
  </si>
  <si>
    <r>
      <t xml:space="preserve">Despina 
</t>
    </r>
    <r>
      <rPr>
        <sz val="10.5"/>
        <color theme="1"/>
        <rFont val="돋움"/>
        <family val="3"/>
        <charset val="129"/>
      </rPr>
      <t>데스피나</t>
    </r>
    <phoneticPr fontId="2" type="noConversion"/>
  </si>
  <si>
    <r>
      <t xml:space="preserve">Neptune Pale Ale 
</t>
    </r>
    <r>
      <rPr>
        <sz val="10.5"/>
        <color theme="1"/>
        <rFont val="돋움"/>
        <family val="3"/>
        <charset val="129"/>
      </rPr>
      <t>넵튠</t>
    </r>
    <r>
      <rPr>
        <sz val="10.5"/>
        <color theme="1"/>
        <rFont val="Arial"/>
        <family val="2"/>
      </rPr>
      <t xml:space="preserve"> </t>
    </r>
    <r>
      <rPr>
        <sz val="10.5"/>
        <color theme="1"/>
        <rFont val="돋움"/>
        <family val="3"/>
        <charset val="129"/>
      </rPr>
      <t>에일</t>
    </r>
    <phoneticPr fontId="2" type="noConversion"/>
  </si>
  <si>
    <r>
      <t xml:space="preserve">Two Face Black IPA 
</t>
    </r>
    <r>
      <rPr>
        <sz val="10.5"/>
        <color theme="1"/>
        <rFont val="돋움"/>
        <family val="3"/>
        <charset val="129"/>
      </rPr>
      <t>투페이스</t>
    </r>
    <phoneticPr fontId="2" type="noConversion"/>
  </si>
  <si>
    <r>
      <t xml:space="preserve">No.5 Stout 
</t>
    </r>
    <r>
      <rPr>
        <sz val="10.5"/>
        <color theme="1"/>
        <rFont val="돋움"/>
        <family val="3"/>
        <charset val="129"/>
      </rPr>
      <t>넘버</t>
    </r>
    <r>
      <rPr>
        <sz val="10.5"/>
        <color theme="1"/>
        <rFont val="Arial"/>
        <family val="2"/>
      </rPr>
      <t>5</t>
    </r>
    <phoneticPr fontId="2" type="noConversion"/>
  </si>
  <si>
    <r>
      <rPr>
        <b/>
        <sz val="14"/>
        <color theme="1"/>
        <rFont val="맑은 고딕"/>
        <family val="3"/>
        <charset val="129"/>
      </rPr>
      <t>■</t>
    </r>
    <r>
      <rPr>
        <b/>
        <sz val="14"/>
        <color theme="1"/>
        <rFont val="Arial"/>
        <family val="2"/>
      </rPr>
      <t xml:space="preserve"> DAILY MINIBAR SALES</t>
    </r>
    <phoneticPr fontId="2" type="noConversion"/>
  </si>
  <si>
    <t>Potato Chip</t>
    <phoneticPr fontId="2" type="noConversion"/>
  </si>
  <si>
    <t xml:space="preserve">Haribo Jelly </t>
    <phoneticPr fontId="2" type="noConversion"/>
  </si>
  <si>
    <t xml:space="preserve">Fried Squid </t>
    <phoneticPr fontId="2" type="noConversion"/>
  </si>
  <si>
    <t xml:space="preserve">Evian </t>
    <phoneticPr fontId="2" type="noConversion"/>
  </si>
  <si>
    <t xml:space="preserve">Coke </t>
    <phoneticPr fontId="2" type="noConversion"/>
  </si>
  <si>
    <r>
      <t xml:space="preserve">Zero Coke </t>
    </r>
    <r>
      <rPr>
        <sz val="10.5"/>
        <color theme="1"/>
        <rFont val="돋움"/>
        <family val="3"/>
        <charset val="129"/>
      </rPr>
      <t/>
    </r>
    <phoneticPr fontId="2" type="noConversion"/>
  </si>
  <si>
    <t xml:space="preserve">Sprite </t>
    <phoneticPr fontId="2" type="noConversion"/>
  </si>
  <si>
    <t xml:space="preserve">Red Bull </t>
    <phoneticPr fontId="2" type="noConversion"/>
  </si>
  <si>
    <t xml:space="preserve">Budweiser </t>
    <phoneticPr fontId="2" type="noConversion"/>
  </si>
  <si>
    <t xml:space="preserve">Cass </t>
    <phoneticPr fontId="2" type="noConversion"/>
  </si>
  <si>
    <t xml:space="preserve">Despina </t>
    <phoneticPr fontId="2" type="noConversion"/>
  </si>
  <si>
    <r>
      <t xml:space="preserve">Neptune Pale Ale </t>
    </r>
    <r>
      <rPr>
        <sz val="10.5"/>
        <color theme="1"/>
        <rFont val="돋움"/>
        <family val="3"/>
        <charset val="129"/>
      </rPr>
      <t/>
    </r>
    <phoneticPr fontId="2" type="noConversion"/>
  </si>
  <si>
    <t xml:space="preserve">Two Face Black IPA </t>
    <phoneticPr fontId="2" type="noConversion"/>
  </si>
  <si>
    <r>
      <t xml:space="preserve">No.5 Stout </t>
    </r>
    <r>
      <rPr>
        <sz val="10.5"/>
        <color theme="1"/>
        <rFont val="돋움"/>
        <family val="3"/>
        <charset val="129"/>
      </rPr>
      <t/>
    </r>
    <phoneticPr fontId="2" type="noConversion"/>
  </si>
  <si>
    <t>SKIPPER</t>
    <phoneticPr fontId="2" type="noConversion"/>
  </si>
  <si>
    <t>POSTING</t>
    <phoneticPr fontId="2" type="noConversion"/>
  </si>
  <si>
    <t>ISSUE TOTAL</t>
    <phoneticPr fontId="2" type="noConversion"/>
  </si>
  <si>
    <t>COMP</t>
    <phoneticPr fontId="2" type="noConversion"/>
  </si>
  <si>
    <t>EXPIRATION
DATE 1</t>
    <phoneticPr fontId="2" type="noConversion"/>
  </si>
  <si>
    <t>EXPIRATION
DATE 2</t>
    <phoneticPr fontId="2" type="noConversion"/>
  </si>
  <si>
    <r>
      <rPr>
        <b/>
        <sz val="13"/>
        <color theme="1"/>
        <rFont val="Wingdings"/>
        <charset val="2"/>
      </rPr>
      <t>n</t>
    </r>
    <r>
      <rPr>
        <b/>
        <sz val="13"/>
        <color theme="1"/>
        <rFont val="Arial"/>
        <family val="2"/>
      </rPr>
      <t xml:space="preserve"> MONTHLY TRANSFER_Damage, Expiration date</t>
    </r>
    <phoneticPr fontId="2" type="noConversion"/>
  </si>
  <si>
    <t>TRANSFER</t>
    <phoneticPr fontId="2" type="noConversion"/>
  </si>
  <si>
    <t xml:space="preserve">Posting </t>
    <phoneticPr fontId="2" type="noConversion"/>
  </si>
  <si>
    <t>Ratio %</t>
    <phoneticPr fontId="2" type="noConversion"/>
  </si>
  <si>
    <t>TTL Posting Ratio %</t>
    <phoneticPr fontId="2" type="noConversion"/>
  </si>
  <si>
    <r>
      <rPr>
        <b/>
        <sz val="13"/>
        <color theme="1"/>
        <rFont val="Wingdings"/>
        <charset val="2"/>
      </rPr>
      <t>n</t>
    </r>
    <r>
      <rPr>
        <b/>
        <sz val="13"/>
        <color theme="1"/>
        <rFont val="Arial"/>
        <family val="2"/>
      </rPr>
      <t xml:space="preserve"> MONTHLY MINIBAR STATISTICS_Jan 2026</t>
    </r>
    <phoneticPr fontId="2" type="noConversion"/>
  </si>
  <si>
    <r>
      <t>2026</t>
    </r>
    <r>
      <rPr>
        <sz val="10.5"/>
        <color theme="1"/>
        <rFont val="맑은 고딕"/>
        <family val="2"/>
        <charset val="129"/>
      </rPr>
      <t>년11월</t>
    </r>
    <phoneticPr fontId="2" type="noConversion"/>
  </si>
  <si>
    <r>
      <t>2026</t>
    </r>
    <r>
      <rPr>
        <sz val="10.5"/>
        <color theme="1"/>
        <rFont val="맑은 고딕"/>
        <family val="2"/>
        <charset val="129"/>
      </rPr>
      <t>년</t>
    </r>
    <r>
      <rPr>
        <sz val="10.5"/>
        <color theme="1"/>
        <rFont val="Arial"/>
        <family val="2"/>
      </rPr>
      <t>11</t>
    </r>
    <r>
      <rPr>
        <sz val="10.5"/>
        <color theme="1"/>
        <rFont val="맑은 고딕"/>
        <family val="2"/>
        <charset val="129"/>
      </rPr>
      <t>월</t>
    </r>
    <phoneticPr fontId="2" type="noConversion"/>
  </si>
  <si>
    <r>
      <t>2026</t>
    </r>
    <r>
      <rPr>
        <sz val="10.5"/>
        <color theme="1"/>
        <rFont val="맑은 고딕"/>
        <family val="2"/>
        <charset val="129"/>
      </rPr>
      <t>년</t>
    </r>
    <r>
      <rPr>
        <sz val="10.5"/>
        <color theme="1"/>
        <rFont val="Arial"/>
        <family val="2"/>
      </rPr>
      <t>10</t>
    </r>
    <r>
      <rPr>
        <sz val="10.5"/>
        <color theme="1"/>
        <rFont val="맑은 고딕"/>
        <family val="2"/>
        <charset val="129"/>
      </rPr>
      <t>월</t>
    </r>
    <phoneticPr fontId="2" type="noConversion"/>
  </si>
  <si>
    <r>
      <t>2026</t>
    </r>
    <r>
      <rPr>
        <sz val="10.5"/>
        <color theme="1"/>
        <rFont val="맑은 고딕"/>
        <family val="2"/>
        <charset val="129"/>
      </rPr>
      <t>년9월</t>
    </r>
    <phoneticPr fontId="2" type="noConversion"/>
  </si>
  <si>
    <r>
      <t>2027</t>
    </r>
    <r>
      <rPr>
        <sz val="10.5"/>
        <color theme="1"/>
        <rFont val="맑은 고딕"/>
        <family val="2"/>
        <charset val="129"/>
      </rPr>
      <t>년08월</t>
    </r>
    <phoneticPr fontId="2" type="noConversion"/>
  </si>
  <si>
    <r>
      <t>2027</t>
    </r>
    <r>
      <rPr>
        <sz val="10.5"/>
        <color theme="1"/>
        <rFont val="맑은 고딕"/>
        <family val="2"/>
        <charset val="129"/>
      </rPr>
      <t>년</t>
    </r>
    <r>
      <rPr>
        <sz val="10.5"/>
        <color theme="1"/>
        <rFont val="Arial"/>
        <family val="2"/>
      </rPr>
      <t>12</t>
    </r>
    <r>
      <rPr>
        <sz val="10.5"/>
        <color theme="1"/>
        <rFont val="맑은 고딕"/>
        <family val="2"/>
        <charset val="129"/>
      </rPr>
      <t>월</t>
    </r>
    <phoneticPr fontId="2" type="noConversion"/>
  </si>
  <si>
    <r>
      <t>2027</t>
    </r>
    <r>
      <rPr>
        <sz val="10.5"/>
        <color theme="1"/>
        <rFont val="맑은 고딕"/>
        <family val="2"/>
        <charset val="129"/>
      </rPr>
      <t>년2월</t>
    </r>
    <phoneticPr fontId="2" type="noConversion"/>
  </si>
  <si>
    <r>
      <t>2028</t>
    </r>
    <r>
      <rPr>
        <sz val="10.5"/>
        <color theme="1"/>
        <rFont val="맑은 고딕"/>
        <family val="2"/>
        <charset val="129"/>
      </rPr>
      <t>년1월</t>
    </r>
    <phoneticPr fontId="2" type="noConversion"/>
  </si>
  <si>
    <r>
      <t>2027</t>
    </r>
    <r>
      <rPr>
        <sz val="10.5"/>
        <color theme="1"/>
        <rFont val="맑은 고딕"/>
        <family val="2"/>
        <charset val="129"/>
      </rPr>
      <t>년1월</t>
    </r>
    <phoneticPr fontId="2" type="noConversion"/>
  </si>
  <si>
    <r>
      <t>2026</t>
    </r>
    <r>
      <rPr>
        <sz val="10.5"/>
        <color theme="1"/>
        <rFont val="맑은 고딕"/>
        <family val="2"/>
        <charset val="129"/>
      </rPr>
      <t>년7월</t>
    </r>
    <phoneticPr fontId="2" type="noConversion"/>
  </si>
  <si>
    <r>
      <t>615(</t>
    </r>
    <r>
      <rPr>
        <sz val="10.5"/>
        <color theme="1"/>
        <rFont val="맑은 고딕"/>
        <family val="2"/>
        <charset val="129"/>
      </rPr>
      <t>콤프)</t>
    </r>
    <phoneticPr fontId="2" type="noConversion"/>
  </si>
  <si>
    <r>
      <t>2026</t>
    </r>
    <r>
      <rPr>
        <sz val="10.5"/>
        <color theme="1"/>
        <rFont val="맑은 고딕"/>
        <family val="2"/>
        <charset val="129"/>
      </rPr>
      <t>년</t>
    </r>
    <r>
      <rPr>
        <sz val="10.5"/>
        <color theme="1"/>
        <rFont val="Arial"/>
        <family val="2"/>
      </rPr>
      <t>12월</t>
    </r>
    <r>
      <rPr>
        <sz val="10.5"/>
        <color theme="1"/>
        <rFont val="맑은 고딕"/>
        <family val="2"/>
        <charset val="129"/>
      </rPr>
      <t/>
    </r>
  </si>
  <si>
    <r>
      <t>2026</t>
    </r>
    <r>
      <rPr>
        <sz val="10.5"/>
        <color theme="1"/>
        <rFont val="맑은 고딕"/>
        <family val="2"/>
        <charset val="129"/>
      </rPr>
      <t>년7</t>
    </r>
    <r>
      <rPr>
        <sz val="10.5"/>
        <color theme="1"/>
        <rFont val="맑은 고딕"/>
        <family val="3"/>
        <charset val="129"/>
      </rPr>
      <t>월</t>
    </r>
    <phoneticPr fontId="2" type="noConversion"/>
  </si>
  <si>
    <r>
      <t>2027</t>
    </r>
    <r>
      <rPr>
        <sz val="10.5"/>
        <color theme="1"/>
        <rFont val="맑은 고딕"/>
        <family val="2"/>
        <charset val="129"/>
      </rPr>
      <t>년3월</t>
    </r>
    <phoneticPr fontId="2" type="noConversion"/>
  </si>
  <si>
    <r>
      <t>2026</t>
    </r>
    <r>
      <rPr>
        <sz val="10.5"/>
        <color theme="1"/>
        <rFont val="맑은 고딕"/>
        <family val="2"/>
        <charset val="129"/>
      </rPr>
      <t>년12월</t>
    </r>
    <phoneticPr fontId="2" type="noConversion"/>
  </si>
  <si>
    <r>
      <t>2026</t>
    </r>
    <r>
      <rPr>
        <sz val="10.5"/>
        <color theme="1"/>
        <rFont val="맑은 고딕"/>
        <family val="2"/>
        <charset val="129"/>
      </rPr>
      <t>년</t>
    </r>
    <r>
      <rPr>
        <sz val="10.5"/>
        <color theme="1"/>
        <rFont val="Arial"/>
        <family val="2"/>
      </rPr>
      <t>12</t>
    </r>
    <r>
      <rPr>
        <sz val="10.5"/>
        <color theme="1"/>
        <rFont val="맑은 고딕"/>
        <family val="2"/>
        <charset val="129"/>
      </rPr>
      <t>월</t>
    </r>
    <phoneticPr fontId="2" type="noConversion"/>
  </si>
  <si>
    <r>
      <t>2028</t>
    </r>
    <r>
      <rPr>
        <sz val="10.5"/>
        <color theme="1"/>
        <rFont val="맑은 고딕"/>
        <family val="2"/>
        <charset val="129"/>
      </rPr>
      <t>년3월</t>
    </r>
    <phoneticPr fontId="2" type="noConversion"/>
  </si>
  <si>
    <r>
      <t>2026</t>
    </r>
    <r>
      <rPr>
        <sz val="10.5"/>
        <color theme="1"/>
        <rFont val="맑은 고딕"/>
        <family val="2"/>
        <charset val="129"/>
      </rPr>
      <t>년</t>
    </r>
    <r>
      <rPr>
        <sz val="10.5"/>
        <color theme="1"/>
        <rFont val="Arial"/>
        <family val="2"/>
      </rPr>
      <t>8</t>
    </r>
    <r>
      <rPr>
        <sz val="10.5"/>
        <color theme="1"/>
        <rFont val="맑은 고딕"/>
        <family val="2"/>
        <charset val="129"/>
      </rPr>
      <t>월</t>
    </r>
    <phoneticPr fontId="2" type="noConversion"/>
  </si>
  <si>
    <r>
      <t>2026</t>
    </r>
    <r>
      <rPr>
        <sz val="10.5"/>
        <color theme="1"/>
        <rFont val="맑은 고딕"/>
        <family val="2"/>
        <charset val="129"/>
      </rPr>
      <t>년</t>
    </r>
    <r>
      <rPr>
        <sz val="10.5"/>
        <color theme="1"/>
        <rFont val="Arial"/>
        <family val="2"/>
      </rPr>
      <t>8</t>
    </r>
    <r>
      <rPr>
        <sz val="10.5"/>
        <color theme="1"/>
        <rFont val="맑은 고딕"/>
        <family val="2"/>
        <charset val="129"/>
      </rPr>
      <t>월</t>
    </r>
    <r>
      <rPr>
        <sz val="10.5"/>
        <color theme="1"/>
        <rFont val="Arial"/>
        <family val="2"/>
      </rPr>
      <t>10</t>
    </r>
    <r>
      <rPr>
        <sz val="10.5"/>
        <color theme="1"/>
        <rFont val="맑은 고딕"/>
        <family val="2"/>
        <charset val="129"/>
      </rPr>
      <t>월</t>
    </r>
    <phoneticPr fontId="2" type="noConversion"/>
  </si>
  <si>
    <r>
      <t>2027</t>
    </r>
    <r>
      <rPr>
        <sz val="10.5"/>
        <color theme="1"/>
        <rFont val="맑은 고딕"/>
        <family val="2"/>
        <charset val="129"/>
      </rPr>
      <t>년</t>
    </r>
    <r>
      <rPr>
        <sz val="10.5"/>
        <color theme="1"/>
        <rFont val="Arial"/>
        <family val="2"/>
      </rPr>
      <t>3</t>
    </r>
    <r>
      <rPr>
        <sz val="10.5"/>
        <color theme="1"/>
        <rFont val="맑은 고딕"/>
        <family val="2"/>
        <charset val="129"/>
      </rPr>
      <t>월</t>
    </r>
    <phoneticPr fontId="2" type="noConversion"/>
  </si>
  <si>
    <r>
      <t>2028</t>
    </r>
    <r>
      <rPr>
        <sz val="10.5"/>
        <color theme="1"/>
        <rFont val="맑은 고딕"/>
        <family val="2"/>
        <charset val="129"/>
      </rPr>
      <t>년2월</t>
    </r>
    <phoneticPr fontId="2" type="noConversion"/>
  </si>
  <si>
    <r>
      <rPr>
        <b/>
        <sz val="13"/>
        <color theme="1"/>
        <rFont val="Wingdings"/>
        <charset val="2"/>
      </rPr>
      <t>n</t>
    </r>
    <r>
      <rPr>
        <b/>
        <sz val="13"/>
        <color theme="1"/>
        <rFont val="Arial"/>
        <family val="2"/>
      </rPr>
      <t xml:space="preserve"> MONTHLY ISSUE</t>
    </r>
    <phoneticPr fontId="2" type="noConversion"/>
  </si>
  <si>
    <r>
      <t>2027</t>
    </r>
    <r>
      <rPr>
        <sz val="10.5"/>
        <color theme="1"/>
        <rFont val="맑은 고딕"/>
        <family val="2"/>
        <charset val="129"/>
      </rPr>
      <t>년</t>
    </r>
    <r>
      <rPr>
        <sz val="10.5"/>
        <color theme="1"/>
        <rFont val="Arial"/>
        <family val="2"/>
      </rPr>
      <t>4</t>
    </r>
    <r>
      <rPr>
        <sz val="10.5"/>
        <color theme="1"/>
        <rFont val="맑은 고딕"/>
        <family val="2"/>
        <charset val="129"/>
      </rPr>
      <t>월</t>
    </r>
    <phoneticPr fontId="2" type="noConversion"/>
  </si>
  <si>
    <r>
      <t>2026</t>
    </r>
    <r>
      <rPr>
        <sz val="10.5"/>
        <color theme="1"/>
        <rFont val="맑은 고딕"/>
        <family val="2"/>
        <charset val="129"/>
      </rPr>
      <t>년10</t>
    </r>
    <r>
      <rPr>
        <sz val="10.5"/>
        <color theme="1"/>
        <rFont val="맑은 고딕"/>
        <family val="3"/>
        <charset val="129"/>
      </rPr>
      <t>월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</si>
</sst>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_(* #,##0_);_(* \(#,##0\);_(* &quot;-&quot;_);_(@_)"/>
    <numFmt numFmtId="177" formatCode="0&quot;-&quot;00&quot;-&quot;00&quot;-&quot;000"/>
  </numFmts>
  <fonts count="19" x14ac:knownFonts="1">
    <font>
      <sz val="11"/>
      <color theme="1"/>
      <name val="맑은 고딕"/>
      <family val="2"/>
      <scheme val="minor"/>
    </font>
    <font>
      <sz val="11"/>
      <color theme="1"/>
      <name val="Arial"/>
      <family val="2"/>
    </font>
    <font>
      <sz val="8"/>
      <name val="맑은 고딕"/>
      <family val="3"/>
      <charset val="129"/>
      <scheme val="minor"/>
    </font>
    <font>
      <sz val="9"/>
      <color theme="1"/>
      <name val="Arial"/>
      <family val="2"/>
    </font>
    <font>
      <b/>
      <sz val="13"/>
      <color theme="1"/>
      <name val="Arial"/>
      <family val="2"/>
      <charset val="2"/>
    </font>
    <font>
      <b/>
      <sz val="13"/>
      <color theme="1"/>
      <name val="Arial"/>
      <family val="2"/>
    </font>
    <font>
      <b/>
      <sz val="13"/>
      <color theme="1"/>
      <name val="Wingdings"/>
      <charset val="2"/>
    </font>
    <font>
      <sz val="10.5"/>
      <color theme="1"/>
      <name val="Arial"/>
      <family val="2"/>
    </font>
    <font>
      <sz val="10.5"/>
      <color theme="1"/>
      <name val="맑은 고딕"/>
      <family val="2"/>
      <scheme val="minor"/>
    </font>
    <font>
      <sz val="10.5"/>
      <color theme="1"/>
      <name val="돋움"/>
      <family val="3"/>
      <charset val="129"/>
    </font>
    <font>
      <b/>
      <sz val="10.5"/>
      <color rgb="FFFF0000"/>
      <name val="Arial"/>
      <family val="2"/>
    </font>
    <font>
      <b/>
      <sz val="14"/>
      <color theme="1"/>
      <name val="Arial"/>
      <family val="2"/>
      <charset val="2"/>
    </font>
    <font>
      <b/>
      <sz val="14"/>
      <color theme="1"/>
      <name val="맑은 고딕"/>
      <family val="3"/>
      <charset val="129"/>
    </font>
    <font>
      <b/>
      <sz val="14"/>
      <color theme="1"/>
      <name val="Arial"/>
      <family val="2"/>
    </font>
    <font>
      <b/>
      <sz val="12"/>
      <color indexed="81"/>
      <name val="Tahoma"/>
      <family val="2"/>
    </font>
    <font>
      <sz val="12"/>
      <color indexed="81"/>
      <name val="Tahoma"/>
      <family val="2"/>
    </font>
    <font>
      <sz val="12"/>
      <color indexed="81"/>
      <name val="돋움"/>
      <family val="3"/>
      <charset val="129"/>
    </font>
    <font>
      <sz val="10.5"/>
      <color theme="1"/>
      <name val="맑은 고딕"/>
      <family val="2"/>
      <charset val="129"/>
    </font>
    <font>
      <sz val="10.5"/>
      <color theme="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 diagonalUp="1"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 style="thin">
        <color indexed="64"/>
      </diagonal>
    </border>
    <border diagonalUp="1">
      <left style="hair">
        <color indexed="64"/>
      </left>
      <right/>
      <top style="hair">
        <color indexed="64"/>
      </top>
      <bottom style="hair">
        <color indexed="64"/>
      </bottom>
      <diagonal style="thin">
        <color indexed="64"/>
      </diagonal>
    </border>
    <border diagonalUp="1"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 style="thin">
        <color indexed="64"/>
      </diagonal>
    </border>
    <border diagonalUp="1">
      <left/>
      <right style="hair">
        <color indexed="64"/>
      </right>
      <top style="hair">
        <color indexed="64"/>
      </top>
      <bottom style="hair">
        <color indexed="64"/>
      </bottom>
      <diagonal style="thin">
        <color indexed="64"/>
      </diagonal>
    </border>
    <border diagonalUp="1"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 style="thin">
        <color indexed="64"/>
      </diagonal>
    </border>
    <border diagonalUp="1"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 style="thin">
        <color indexed="64"/>
      </diagonal>
    </border>
    <border diagonalUp="1">
      <left style="hair">
        <color indexed="64"/>
      </left>
      <right/>
      <top style="hair">
        <color indexed="64"/>
      </top>
      <bottom style="thin">
        <color indexed="64"/>
      </bottom>
      <diagonal style="thin">
        <color indexed="64"/>
      </diagonal>
    </border>
    <border diagonalUp="1"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 style="thin">
        <color indexed="64"/>
      </diagonal>
    </border>
    <border diagonalUp="1">
      <left/>
      <right style="hair">
        <color indexed="64"/>
      </right>
      <top style="hair">
        <color indexed="64"/>
      </top>
      <bottom style="thin">
        <color indexed="64"/>
      </bottom>
      <diagonal style="thin">
        <color indexed="64"/>
      </diagonal>
    </border>
    <border diagonalUp="1"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 style="thin">
        <color indexed="64"/>
      </diagonal>
    </border>
  </borders>
  <cellStyleXfs count="1">
    <xf numFmtId="0" fontId="0" fillId="0" borderId="0"/>
  </cellStyleXfs>
  <cellXfs count="156">
    <xf numFmtId="0" fontId="0" fillId="0" borderId="0" xfId="0"/>
    <xf numFmtId="0" fontId="1" fillId="0" borderId="0" xfId="0" applyFont="1" applyProtection="1">
      <protection locked="0"/>
    </xf>
    <xf numFmtId="0" fontId="1" fillId="0" borderId="0" xfId="0" applyFont="1" applyAlignment="1" applyProtection="1">
      <alignment horizontal="center" vertical="center"/>
      <protection locked="0"/>
    </xf>
    <xf numFmtId="1" fontId="1" fillId="0" borderId="0" xfId="0" applyNumberFormat="1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left" vertical="center"/>
      <protection locked="0"/>
    </xf>
    <xf numFmtId="0" fontId="7" fillId="0" borderId="25" xfId="0" applyFont="1" applyBorder="1" applyAlignment="1" applyProtection="1">
      <alignment horizontal="center" vertical="center"/>
      <protection locked="0"/>
    </xf>
    <xf numFmtId="0" fontId="7" fillId="0" borderId="14" xfId="0" applyFont="1" applyBorder="1" applyAlignment="1" applyProtection="1">
      <alignment horizontal="center" vertical="center"/>
      <protection locked="0"/>
    </xf>
    <xf numFmtId="0" fontId="7" fillId="0" borderId="40" xfId="0" applyFont="1" applyBorder="1" applyAlignment="1" applyProtection="1">
      <alignment horizontal="center" vertical="center"/>
      <protection locked="0"/>
    </xf>
    <xf numFmtId="0" fontId="7" fillId="0" borderId="15" xfId="0" applyFont="1" applyBorder="1" applyAlignment="1" applyProtection="1">
      <alignment horizontal="center" vertical="center"/>
      <protection locked="0"/>
    </xf>
    <xf numFmtId="177" fontId="8" fillId="0" borderId="7" xfId="0" applyNumberFormat="1" applyFont="1" applyBorder="1" applyAlignment="1">
      <alignment horizontal="center" vertical="center" wrapText="1"/>
    </xf>
    <xf numFmtId="176" fontId="7" fillId="0" borderId="7" xfId="0" applyNumberFormat="1" applyFont="1" applyBorder="1" applyAlignment="1" applyProtection="1">
      <alignment horizontal="center" vertical="center"/>
      <protection locked="0"/>
    </xf>
    <xf numFmtId="41" fontId="7" fillId="0" borderId="9" xfId="0" applyNumberFormat="1" applyFont="1" applyBorder="1" applyAlignment="1" applyProtection="1">
      <alignment horizontal="center" vertical="center"/>
      <protection hidden="1"/>
    </xf>
    <xf numFmtId="41" fontId="7" fillId="2" borderId="29" xfId="0" applyNumberFormat="1" applyFont="1" applyFill="1" applyBorder="1" applyAlignment="1" applyProtection="1">
      <alignment horizontal="center" vertical="center"/>
      <protection hidden="1"/>
    </xf>
    <xf numFmtId="41" fontId="7" fillId="0" borderId="24" xfId="0" applyNumberFormat="1" applyFont="1" applyBorder="1" applyAlignment="1" applyProtection="1">
      <alignment horizontal="center" vertical="center"/>
      <protection hidden="1"/>
    </xf>
    <xf numFmtId="41" fontId="7" fillId="0" borderId="8" xfId="0" applyNumberFormat="1" applyFont="1" applyBorder="1" applyAlignment="1" applyProtection="1">
      <alignment horizontal="center" vertical="center"/>
      <protection hidden="1"/>
    </xf>
    <xf numFmtId="177" fontId="8" fillId="0" borderId="10" xfId="0" applyNumberFormat="1" applyFont="1" applyBorder="1" applyAlignment="1">
      <alignment horizontal="center" vertical="center" wrapText="1"/>
    </xf>
    <xf numFmtId="176" fontId="7" fillId="0" borderId="10" xfId="0" applyNumberFormat="1" applyFont="1" applyBorder="1" applyAlignment="1" applyProtection="1">
      <alignment horizontal="center" vertical="center"/>
      <protection locked="0"/>
    </xf>
    <xf numFmtId="41" fontId="7" fillId="0" borderId="12" xfId="0" applyNumberFormat="1" applyFont="1" applyBorder="1" applyAlignment="1" applyProtection="1">
      <alignment horizontal="center" vertical="center"/>
      <protection hidden="1"/>
    </xf>
    <xf numFmtId="41" fontId="7" fillId="2" borderId="34" xfId="0" applyNumberFormat="1" applyFont="1" applyFill="1" applyBorder="1" applyAlignment="1" applyProtection="1">
      <alignment horizontal="center" vertical="center"/>
      <protection hidden="1"/>
    </xf>
    <xf numFmtId="41" fontId="7" fillId="0" borderId="23" xfId="0" applyNumberFormat="1" applyFont="1" applyBorder="1" applyAlignment="1" applyProtection="1">
      <alignment horizontal="center" vertical="center"/>
      <protection hidden="1"/>
    </xf>
    <xf numFmtId="41" fontId="7" fillId="0" borderId="11" xfId="0" applyNumberFormat="1" applyFont="1" applyBorder="1" applyAlignment="1" applyProtection="1">
      <alignment horizontal="center" vertical="center"/>
      <protection hidden="1"/>
    </xf>
    <xf numFmtId="41" fontId="7" fillId="2" borderId="3" xfId="0" applyNumberFormat="1" applyFont="1" applyFill="1" applyBorder="1" applyAlignment="1" applyProtection="1">
      <alignment horizontal="center" vertical="center"/>
      <protection hidden="1"/>
    </xf>
    <xf numFmtId="41" fontId="7" fillId="2" borderId="22" xfId="0" applyNumberFormat="1" applyFont="1" applyFill="1" applyBorder="1" applyAlignment="1" applyProtection="1">
      <alignment horizontal="center" vertical="center"/>
      <protection hidden="1"/>
    </xf>
    <xf numFmtId="41" fontId="7" fillId="2" borderId="43" xfId="0" applyNumberFormat="1" applyFont="1" applyFill="1" applyBorder="1" applyAlignment="1" applyProtection="1">
      <alignment horizontal="center" vertical="center"/>
      <protection hidden="1"/>
    </xf>
    <xf numFmtId="41" fontId="7" fillId="2" borderId="4" xfId="0" applyNumberFormat="1" applyFont="1" applyFill="1" applyBorder="1" applyAlignment="1" applyProtection="1">
      <alignment horizontal="center" vertical="center"/>
      <protection hidden="1"/>
    </xf>
    <xf numFmtId="41" fontId="7" fillId="2" borderId="35" xfId="0" applyNumberFormat="1" applyFont="1" applyFill="1" applyBorder="1" applyAlignment="1" applyProtection="1">
      <alignment horizontal="center" vertical="center"/>
      <protection hidden="1"/>
    </xf>
    <xf numFmtId="41" fontId="7" fillId="2" borderId="25" xfId="0" applyNumberFormat="1" applyFont="1" applyFill="1" applyBorder="1" applyAlignment="1" applyProtection="1">
      <alignment horizontal="center" vertical="center"/>
      <protection hidden="1"/>
    </xf>
    <xf numFmtId="41" fontId="7" fillId="2" borderId="14" xfId="0" applyNumberFormat="1" applyFont="1" applyFill="1" applyBorder="1" applyAlignment="1" applyProtection="1">
      <alignment horizontal="center" vertical="center"/>
      <protection hidden="1"/>
    </xf>
    <xf numFmtId="41" fontId="7" fillId="2" borderId="15" xfId="0" applyNumberFormat="1" applyFont="1" applyFill="1" applyBorder="1" applyAlignment="1" applyProtection="1">
      <alignment horizontal="center" vertical="center"/>
      <protection hidden="1"/>
    </xf>
    <xf numFmtId="41" fontId="7" fillId="0" borderId="29" xfId="0" applyNumberFormat="1" applyFont="1" applyBorder="1" applyAlignment="1" applyProtection="1">
      <alignment horizontal="center" vertical="center"/>
      <protection hidden="1"/>
    </xf>
    <xf numFmtId="41" fontId="7" fillId="0" borderId="34" xfId="0" applyNumberFormat="1" applyFont="1" applyBorder="1" applyAlignment="1" applyProtection="1">
      <alignment horizontal="center" vertical="center"/>
      <protection hidden="1"/>
    </xf>
    <xf numFmtId="1" fontId="7" fillId="2" borderId="18" xfId="0" applyNumberFormat="1" applyFont="1" applyFill="1" applyBorder="1" applyAlignment="1" applyProtection="1">
      <alignment horizontal="center" vertical="center" wrapText="1"/>
      <protection locked="0"/>
    </xf>
    <xf numFmtId="0" fontId="7" fillId="0" borderId="24" xfId="0" applyFont="1" applyBorder="1" applyAlignment="1" applyProtection="1">
      <alignment horizontal="center" vertical="center"/>
      <protection locked="0"/>
    </xf>
    <xf numFmtId="0" fontId="7" fillId="0" borderId="8" xfId="0" applyFont="1" applyBorder="1" applyAlignment="1" applyProtection="1">
      <alignment horizontal="center" vertical="center"/>
      <protection locked="0"/>
    </xf>
    <xf numFmtId="0" fontId="7" fillId="0" borderId="9" xfId="0" applyFont="1" applyBorder="1" applyAlignment="1" applyProtection="1">
      <alignment horizontal="center" vertical="center"/>
      <protection locked="0"/>
    </xf>
    <xf numFmtId="1" fontId="7" fillId="2" borderId="2" xfId="0" applyNumberFormat="1" applyFont="1" applyFill="1" applyBorder="1" applyAlignment="1" applyProtection="1">
      <alignment horizontal="center" vertical="center" wrapText="1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0" fontId="7" fillId="0" borderId="0" xfId="0" applyFont="1" applyProtection="1">
      <protection locked="0"/>
    </xf>
    <xf numFmtId="41" fontId="7" fillId="0" borderId="7" xfId="0" applyNumberFormat="1" applyFont="1" applyBorder="1" applyAlignment="1" applyProtection="1">
      <alignment horizontal="center" vertical="center"/>
      <protection locked="0"/>
    </xf>
    <xf numFmtId="41" fontId="7" fillId="0" borderId="16" xfId="0" applyNumberFormat="1" applyFont="1" applyBorder="1" applyAlignment="1" applyProtection="1">
      <alignment horizontal="center" vertical="center"/>
      <protection locked="0"/>
    </xf>
    <xf numFmtId="41" fontId="7" fillId="0" borderId="21" xfId="0" applyNumberFormat="1" applyFont="1" applyBorder="1" applyAlignment="1" applyProtection="1">
      <alignment horizontal="center" vertical="center"/>
      <protection locked="0"/>
    </xf>
    <xf numFmtId="41" fontId="7" fillId="0" borderId="10" xfId="0" applyNumberFormat="1" applyFont="1" applyBorder="1" applyAlignment="1" applyProtection="1">
      <alignment horizontal="center" vertical="center"/>
      <protection locked="0"/>
    </xf>
    <xf numFmtId="41" fontId="7" fillId="0" borderId="11" xfId="0" applyNumberFormat="1" applyFont="1" applyBorder="1" applyAlignment="1" applyProtection="1">
      <alignment horizontal="center" vertical="center"/>
      <protection locked="0"/>
    </xf>
    <xf numFmtId="41" fontId="7" fillId="0" borderId="12" xfId="0" applyNumberFormat="1" applyFont="1" applyBorder="1" applyAlignment="1" applyProtection="1">
      <alignment horizontal="center" vertical="center"/>
      <protection locked="0"/>
    </xf>
    <xf numFmtId="41" fontId="7" fillId="0" borderId="19" xfId="0" applyNumberFormat="1" applyFont="1" applyBorder="1" applyAlignment="1" applyProtection="1">
      <alignment horizontal="center" vertical="center"/>
      <protection locked="0"/>
    </xf>
    <xf numFmtId="41" fontId="7" fillId="2" borderId="13" xfId="0" applyNumberFormat="1" applyFont="1" applyFill="1" applyBorder="1" applyAlignment="1" applyProtection="1">
      <alignment horizontal="center" vertical="center"/>
      <protection hidden="1"/>
    </xf>
    <xf numFmtId="41" fontId="7" fillId="0" borderId="7" xfId="0" applyNumberFormat="1" applyFont="1" applyBorder="1" applyAlignment="1" applyProtection="1">
      <alignment horizontal="center" vertical="center"/>
      <protection hidden="1"/>
    </xf>
    <xf numFmtId="41" fontId="7" fillId="0" borderId="10" xfId="0" applyNumberFormat="1" applyFont="1" applyBorder="1" applyAlignment="1" applyProtection="1">
      <alignment horizontal="center" vertical="center"/>
      <protection hidden="1"/>
    </xf>
    <xf numFmtId="41" fontId="7" fillId="0" borderId="13" xfId="0" applyNumberFormat="1" applyFont="1" applyBorder="1" applyAlignment="1" applyProtection="1">
      <alignment horizontal="center" vertical="center"/>
      <protection hidden="1"/>
    </xf>
    <xf numFmtId="41" fontId="7" fillId="0" borderId="15" xfId="0" applyNumberFormat="1" applyFont="1" applyBorder="1" applyAlignment="1" applyProtection="1">
      <alignment horizontal="center" vertical="center"/>
      <protection hidden="1"/>
    </xf>
    <xf numFmtId="41" fontId="7" fillId="2" borderId="32" xfId="0" applyNumberFormat="1" applyFont="1" applyFill="1" applyBorder="1" applyAlignment="1" applyProtection="1">
      <alignment horizontal="center" vertical="center"/>
      <protection hidden="1"/>
    </xf>
    <xf numFmtId="0" fontId="7" fillId="0" borderId="42" xfId="0" applyFont="1" applyBorder="1" applyAlignment="1" applyProtection="1">
      <alignment horizontal="center" vertical="center" wrapText="1"/>
      <protection locked="0"/>
    </xf>
    <xf numFmtId="0" fontId="7" fillId="0" borderId="41" xfId="0" applyFont="1" applyBorder="1" applyAlignment="1" applyProtection="1">
      <alignment horizontal="center" vertical="center" wrapText="1"/>
      <protection locked="0"/>
    </xf>
    <xf numFmtId="177" fontId="8" fillId="0" borderId="13" xfId="0" applyNumberFormat="1" applyFont="1" applyBorder="1" applyAlignment="1">
      <alignment horizontal="center" vertical="center" wrapText="1"/>
    </xf>
    <xf numFmtId="0" fontId="7" fillId="0" borderId="40" xfId="0" applyFont="1" applyBorder="1" applyAlignment="1" applyProtection="1">
      <alignment horizontal="center" vertical="center" wrapText="1"/>
      <protection locked="0"/>
    </xf>
    <xf numFmtId="176" fontId="7" fillId="0" borderId="13" xfId="0" applyNumberFormat="1" applyFont="1" applyBorder="1" applyAlignment="1" applyProtection="1">
      <alignment horizontal="center" vertical="center"/>
      <protection locked="0"/>
    </xf>
    <xf numFmtId="41" fontId="7" fillId="0" borderId="35" xfId="0" applyNumberFormat="1" applyFont="1" applyBorder="1" applyAlignment="1" applyProtection="1">
      <alignment horizontal="center" vertical="center"/>
      <protection hidden="1"/>
    </xf>
    <xf numFmtId="41" fontId="7" fillId="0" borderId="25" xfId="0" applyNumberFormat="1" applyFont="1" applyBorder="1" applyAlignment="1" applyProtection="1">
      <alignment horizontal="center" vertical="center"/>
      <protection hidden="1"/>
    </xf>
    <xf numFmtId="41" fontId="7" fillId="0" borderId="14" xfId="0" applyNumberFormat="1" applyFont="1" applyBorder="1" applyAlignment="1" applyProtection="1">
      <alignment horizontal="center" vertical="center"/>
      <protection hidden="1"/>
    </xf>
    <xf numFmtId="41" fontId="7" fillId="0" borderId="20" xfId="0" applyNumberFormat="1" applyFont="1" applyBorder="1" applyAlignment="1" applyProtection="1">
      <alignment horizontal="center" vertical="center"/>
      <protection locked="0"/>
    </xf>
    <xf numFmtId="41" fontId="7" fillId="0" borderId="13" xfId="0" applyNumberFormat="1" applyFont="1" applyBorder="1" applyAlignment="1" applyProtection="1">
      <alignment horizontal="center" vertical="center"/>
      <protection locked="0"/>
    </xf>
    <xf numFmtId="0" fontId="7" fillId="0" borderId="39" xfId="0" applyFont="1" applyBorder="1" applyAlignment="1" applyProtection="1">
      <alignment horizontal="center" vertical="center"/>
      <protection locked="0"/>
    </xf>
    <xf numFmtId="0" fontId="7" fillId="0" borderId="45" xfId="0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center"/>
      <protection locked="0"/>
    </xf>
    <xf numFmtId="0" fontId="7" fillId="0" borderId="44" xfId="0" applyFont="1" applyBorder="1" applyAlignment="1" applyProtection="1">
      <alignment horizontal="center" vertical="center"/>
      <protection locked="0"/>
    </xf>
    <xf numFmtId="41" fontId="7" fillId="0" borderId="24" xfId="0" applyNumberFormat="1" applyFont="1" applyBorder="1" applyAlignment="1" applyProtection="1">
      <alignment horizontal="center" vertical="center"/>
      <protection locked="0"/>
    </xf>
    <xf numFmtId="41" fontId="7" fillId="0" borderId="8" xfId="0" applyNumberFormat="1" applyFont="1" applyBorder="1" applyAlignment="1" applyProtection="1">
      <alignment horizontal="center" vertical="center"/>
      <protection locked="0"/>
    </xf>
    <xf numFmtId="41" fontId="7" fillId="0" borderId="9" xfId="0" applyNumberFormat="1" applyFont="1" applyBorder="1" applyAlignment="1" applyProtection="1">
      <alignment horizontal="center" vertical="center"/>
      <protection locked="0"/>
    </xf>
    <xf numFmtId="41" fontId="7" fillId="0" borderId="23" xfId="0" applyNumberFormat="1" applyFont="1" applyBorder="1" applyAlignment="1" applyProtection="1">
      <alignment horizontal="center" vertical="center"/>
      <protection locked="0"/>
    </xf>
    <xf numFmtId="41" fontId="7" fillId="0" borderId="25" xfId="0" applyNumberFormat="1" applyFont="1" applyBorder="1" applyAlignment="1" applyProtection="1">
      <alignment horizontal="center" vertical="center"/>
      <protection locked="0"/>
    </xf>
    <xf numFmtId="41" fontId="7" fillId="0" borderId="14" xfId="0" applyNumberFormat="1" applyFont="1" applyBorder="1" applyAlignment="1" applyProtection="1">
      <alignment horizontal="center" vertical="center"/>
      <protection locked="0"/>
    </xf>
    <xf numFmtId="41" fontId="7" fillId="0" borderId="15" xfId="0" applyNumberFormat="1" applyFont="1" applyBorder="1" applyAlignment="1" applyProtection="1">
      <alignment horizontal="center" vertical="center"/>
      <protection locked="0"/>
    </xf>
    <xf numFmtId="41" fontId="7" fillId="2" borderId="36" xfId="0" applyNumberFormat="1" applyFont="1" applyFill="1" applyBorder="1" applyAlignment="1" applyProtection="1">
      <alignment horizontal="center" vertical="center"/>
      <protection hidden="1"/>
    </xf>
    <xf numFmtId="41" fontId="7" fillId="2" borderId="40" xfId="0" applyNumberFormat="1" applyFont="1" applyFill="1" applyBorder="1" applyAlignment="1" applyProtection="1">
      <alignment horizontal="center" vertical="center"/>
      <protection hidden="1"/>
    </xf>
    <xf numFmtId="0" fontId="7" fillId="0" borderId="13" xfId="0" applyFont="1" applyBorder="1" applyAlignment="1" applyProtection="1">
      <alignment horizontal="center" vertical="center" wrapText="1"/>
      <protection locked="0"/>
    </xf>
    <xf numFmtId="0" fontId="7" fillId="0" borderId="15" xfId="0" applyFont="1" applyBorder="1" applyAlignment="1" applyProtection="1">
      <alignment horizontal="center" vertical="center" wrapText="1"/>
      <protection locked="0"/>
    </xf>
    <xf numFmtId="0" fontId="7" fillId="0" borderId="39" xfId="0" applyFont="1" applyBorder="1" applyAlignment="1" applyProtection="1">
      <alignment horizontal="center" vertical="center" wrapText="1"/>
      <protection locked="0"/>
    </xf>
    <xf numFmtId="0" fontId="7" fillId="0" borderId="45" xfId="0" applyFont="1" applyBorder="1" applyAlignment="1" applyProtection="1">
      <alignment horizontal="center" vertical="center" wrapText="1"/>
      <protection locked="0"/>
    </xf>
    <xf numFmtId="0" fontId="7" fillId="0" borderId="44" xfId="0" applyFont="1" applyBorder="1" applyAlignment="1" applyProtection="1">
      <alignment horizontal="center" vertical="center" wrapText="1"/>
      <protection locked="0"/>
    </xf>
    <xf numFmtId="41" fontId="7" fillId="0" borderId="0" xfId="0" applyNumberFormat="1" applyFont="1" applyAlignment="1" applyProtection="1">
      <alignment horizontal="center" vertical="center"/>
      <protection hidden="1"/>
    </xf>
    <xf numFmtId="41" fontId="7" fillId="0" borderId="0" xfId="0" applyNumberFormat="1" applyFont="1" applyAlignment="1" applyProtection="1">
      <alignment horizontal="right" vertical="center"/>
      <protection hidden="1"/>
    </xf>
    <xf numFmtId="1" fontId="7" fillId="0" borderId="0" xfId="0" applyNumberFormat="1" applyFont="1" applyAlignment="1" applyProtection="1">
      <alignment horizontal="center" vertical="center"/>
      <protection hidden="1"/>
    </xf>
    <xf numFmtId="10" fontId="7" fillId="0" borderId="0" xfId="0" applyNumberFormat="1" applyFont="1" applyAlignment="1" applyProtection="1">
      <alignment horizontal="right" vertical="center"/>
      <protection hidden="1"/>
    </xf>
    <xf numFmtId="0" fontId="7" fillId="0" borderId="0" xfId="0" applyFont="1" applyAlignment="1" applyProtection="1">
      <alignment horizontal="center" vertical="center"/>
      <protection hidden="1"/>
    </xf>
    <xf numFmtId="0" fontId="7" fillId="0" borderId="0" xfId="0" applyFont="1" applyAlignment="1" applyProtection="1">
      <alignment horizontal="left" vertical="center"/>
      <protection hidden="1"/>
    </xf>
    <xf numFmtId="0" fontId="7" fillId="0" borderId="0" xfId="0" applyFont="1" applyProtection="1">
      <protection hidden="1"/>
    </xf>
    <xf numFmtId="176" fontId="7" fillId="0" borderId="7" xfId="0" applyNumberFormat="1" applyFont="1" applyBorder="1" applyAlignment="1" applyProtection="1">
      <alignment horizontal="center" vertical="center"/>
      <protection hidden="1"/>
    </xf>
    <xf numFmtId="176" fontId="7" fillId="0" borderId="10" xfId="0" applyNumberFormat="1" applyFont="1" applyBorder="1" applyAlignment="1" applyProtection="1">
      <alignment horizontal="center" vertical="center"/>
      <protection hidden="1"/>
    </xf>
    <xf numFmtId="176" fontId="7" fillId="0" borderId="13" xfId="0" applyNumberFormat="1" applyFont="1" applyBorder="1" applyAlignment="1" applyProtection="1">
      <alignment horizontal="center" vertical="center"/>
      <protection hidden="1"/>
    </xf>
    <xf numFmtId="10" fontId="7" fillId="3" borderId="0" xfId="0" applyNumberFormat="1" applyFont="1" applyFill="1" applyAlignment="1" applyProtection="1">
      <alignment horizontal="center" vertical="center"/>
      <protection hidden="1"/>
    </xf>
    <xf numFmtId="0" fontId="10" fillId="0" borderId="30" xfId="0" applyFont="1" applyBorder="1" applyAlignment="1" applyProtection="1">
      <alignment horizontal="center" vertical="center"/>
      <protection locked="0"/>
    </xf>
    <xf numFmtId="0" fontId="7" fillId="0" borderId="13" xfId="0" applyFont="1" applyBorder="1" applyAlignment="1" applyProtection="1">
      <alignment horizontal="center" vertical="center"/>
      <protection locked="0"/>
    </xf>
    <xf numFmtId="16" fontId="7" fillId="0" borderId="13" xfId="0" applyNumberFormat="1" applyFont="1" applyBorder="1" applyAlignment="1" applyProtection="1">
      <alignment horizontal="center"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41" fontId="7" fillId="2" borderId="46" xfId="0" applyNumberFormat="1" applyFont="1" applyFill="1" applyBorder="1" applyAlignment="1" applyProtection="1">
      <alignment horizontal="center" vertical="center"/>
      <protection hidden="1"/>
    </xf>
    <xf numFmtId="0" fontId="7" fillId="0" borderId="42" xfId="0" applyFont="1" applyBorder="1" applyAlignment="1" applyProtection="1">
      <alignment horizontal="center" vertical="center"/>
      <protection locked="0"/>
    </xf>
    <xf numFmtId="41" fontId="7" fillId="0" borderId="48" xfId="0" applyNumberFormat="1" applyFont="1" applyBorder="1" applyAlignment="1" applyProtection="1">
      <alignment horizontal="center" vertical="center"/>
      <protection locked="0"/>
    </xf>
    <xf numFmtId="41" fontId="7" fillId="0" borderId="41" xfId="0" applyNumberFormat="1" applyFont="1" applyBorder="1" applyAlignment="1" applyProtection="1">
      <alignment horizontal="center" vertical="center"/>
      <protection locked="0"/>
    </xf>
    <xf numFmtId="41" fontId="7" fillId="0" borderId="49" xfId="0" applyNumberFormat="1" applyFont="1" applyBorder="1" applyAlignment="1" applyProtection="1">
      <alignment horizontal="center" vertical="center"/>
      <protection locked="0"/>
    </xf>
    <xf numFmtId="41" fontId="7" fillId="2" borderId="30" xfId="0" applyNumberFormat="1" applyFont="1" applyFill="1" applyBorder="1" applyAlignment="1" applyProtection="1">
      <alignment horizontal="center" vertical="center"/>
      <protection hidden="1"/>
    </xf>
    <xf numFmtId="41" fontId="7" fillId="2" borderId="8" xfId="0" applyNumberFormat="1" applyFont="1" applyFill="1" applyBorder="1" applyAlignment="1" applyProtection="1">
      <alignment horizontal="center" vertical="center"/>
      <protection hidden="1"/>
    </xf>
    <xf numFmtId="41" fontId="7" fillId="2" borderId="9" xfId="0" applyNumberFormat="1" applyFont="1" applyFill="1" applyBorder="1" applyAlignment="1" applyProtection="1">
      <alignment horizontal="center" vertical="center"/>
      <protection hidden="1"/>
    </xf>
    <xf numFmtId="177" fontId="8" fillId="0" borderId="51" xfId="0" applyNumberFormat="1" applyFont="1" applyBorder="1" applyAlignment="1">
      <alignment horizontal="center" vertical="center" wrapText="1"/>
    </xf>
    <xf numFmtId="0" fontId="7" fillId="0" borderId="52" xfId="0" applyFont="1" applyBorder="1" applyAlignment="1" applyProtection="1">
      <alignment horizontal="center" vertical="center" wrapText="1"/>
      <protection locked="0"/>
    </xf>
    <xf numFmtId="176" fontId="7" fillId="0" borderId="51" xfId="0" applyNumberFormat="1" applyFont="1" applyBorder="1" applyAlignment="1" applyProtection="1">
      <alignment horizontal="center" vertical="center"/>
      <protection locked="0"/>
    </xf>
    <xf numFmtId="41" fontId="7" fillId="2" borderId="54" xfId="0" applyNumberFormat="1" applyFont="1" applyFill="1" applyBorder="1" applyAlignment="1" applyProtection="1">
      <alignment horizontal="center" vertical="center"/>
      <protection hidden="1"/>
    </xf>
    <xf numFmtId="41" fontId="7" fillId="0" borderId="51" xfId="0" applyNumberFormat="1" applyFont="1" applyBorder="1" applyAlignment="1" applyProtection="1">
      <alignment horizontal="center" vertical="center"/>
      <protection locked="0"/>
    </xf>
    <xf numFmtId="41" fontId="7" fillId="0" borderId="55" xfId="0" applyNumberFormat="1" applyFont="1" applyBorder="1" applyAlignment="1" applyProtection="1">
      <alignment horizontal="center" vertical="center"/>
      <protection locked="0"/>
    </xf>
    <xf numFmtId="41" fontId="7" fillId="0" borderId="56" xfId="0" applyNumberFormat="1" applyFont="1" applyBorder="1" applyAlignment="1" applyProtection="1">
      <alignment horizontal="center" vertical="center"/>
      <protection locked="0"/>
    </xf>
    <xf numFmtId="41" fontId="7" fillId="0" borderId="53" xfId="0" applyNumberFormat="1" applyFont="1" applyBorder="1" applyAlignment="1" applyProtection="1">
      <alignment horizontal="center" vertical="center"/>
      <protection locked="0"/>
    </xf>
    <xf numFmtId="177" fontId="8" fillId="0" borderId="57" xfId="0" applyNumberFormat="1" applyFont="1" applyBorder="1" applyAlignment="1">
      <alignment horizontal="center" vertical="center" wrapText="1"/>
    </xf>
    <xf numFmtId="0" fontId="7" fillId="0" borderId="58" xfId="0" applyFont="1" applyBorder="1" applyAlignment="1" applyProtection="1">
      <alignment horizontal="center" vertical="center" wrapText="1"/>
      <protection locked="0"/>
    </xf>
    <xf numFmtId="176" fontId="7" fillId="0" borderId="57" xfId="0" applyNumberFormat="1" applyFont="1" applyBorder="1" applyAlignment="1" applyProtection="1">
      <alignment horizontal="center" vertical="center"/>
      <protection locked="0"/>
    </xf>
    <xf numFmtId="41" fontId="7" fillId="2" borderId="50" xfId="0" applyNumberFormat="1" applyFont="1" applyFill="1" applyBorder="1" applyAlignment="1" applyProtection="1">
      <alignment horizontal="center" vertical="center"/>
      <protection hidden="1"/>
    </xf>
    <xf numFmtId="41" fontId="7" fillId="0" borderId="57" xfId="0" applyNumberFormat="1" applyFont="1" applyBorder="1" applyAlignment="1" applyProtection="1">
      <alignment horizontal="center" vertical="center"/>
      <protection locked="0"/>
    </xf>
    <xf numFmtId="41" fontId="7" fillId="0" borderId="60" xfId="0" applyNumberFormat="1" applyFont="1" applyBorder="1" applyAlignment="1" applyProtection="1">
      <alignment horizontal="center" vertical="center"/>
      <protection locked="0"/>
    </xf>
    <xf numFmtId="41" fontId="7" fillId="0" borderId="61" xfId="0" applyNumberFormat="1" applyFont="1" applyBorder="1" applyAlignment="1" applyProtection="1">
      <alignment horizontal="center" vertical="center"/>
      <protection locked="0"/>
    </xf>
    <xf numFmtId="41" fontId="7" fillId="0" borderId="59" xfId="0" applyNumberFormat="1" applyFont="1" applyBorder="1" applyAlignment="1" applyProtection="1">
      <alignment horizontal="center" vertical="center"/>
      <protection locked="0"/>
    </xf>
    <xf numFmtId="41" fontId="7" fillId="3" borderId="30" xfId="0" applyNumberFormat="1" applyFont="1" applyFill="1" applyBorder="1" applyAlignment="1" applyProtection="1">
      <alignment horizontal="center" vertical="center"/>
      <protection hidden="1"/>
    </xf>
    <xf numFmtId="0" fontId="10" fillId="0" borderId="17" xfId="0" applyFont="1" applyBorder="1" applyAlignment="1" applyProtection="1">
      <alignment horizontal="center" vertical="center"/>
      <protection locked="0"/>
    </xf>
    <xf numFmtId="0" fontId="10" fillId="0" borderId="18" xfId="0" applyFont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left" vertical="center"/>
      <protection locked="0"/>
    </xf>
    <xf numFmtId="0" fontId="7" fillId="0" borderId="5" xfId="0" applyFont="1" applyBorder="1" applyAlignment="1" applyProtection="1">
      <alignment horizontal="center" vertical="center" wrapText="1"/>
      <protection locked="0"/>
    </xf>
    <xf numFmtId="0" fontId="7" fillId="0" borderId="30" xfId="0" applyFont="1" applyBorder="1" applyAlignment="1" applyProtection="1">
      <alignment horizontal="center" vertical="center" wrapText="1"/>
      <protection locked="0"/>
    </xf>
    <xf numFmtId="41" fontId="7" fillId="2" borderId="26" xfId="0" applyNumberFormat="1" applyFont="1" applyFill="1" applyBorder="1" applyAlignment="1" applyProtection="1">
      <alignment horizontal="center" vertical="center"/>
      <protection hidden="1"/>
    </xf>
    <xf numFmtId="41" fontId="7" fillId="2" borderId="27" xfId="0" applyNumberFormat="1" applyFont="1" applyFill="1" applyBorder="1" applyAlignment="1" applyProtection="1">
      <alignment horizontal="center" vertical="center"/>
      <protection hidden="1"/>
    </xf>
    <xf numFmtId="1" fontId="7" fillId="2" borderId="3" xfId="0" applyNumberFormat="1" applyFont="1" applyFill="1" applyBorder="1" applyAlignment="1" applyProtection="1">
      <alignment horizontal="center" vertical="center" wrapText="1"/>
      <protection locked="0"/>
    </xf>
    <xf numFmtId="1" fontId="7" fillId="2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horizontal="center" vertical="center" wrapText="1"/>
      <protection locked="0"/>
    </xf>
    <xf numFmtId="0" fontId="7" fillId="0" borderId="2" xfId="0" applyFont="1" applyBorder="1" applyAlignment="1" applyProtection="1">
      <alignment horizontal="center" vertical="center"/>
      <protection locked="0"/>
    </xf>
    <xf numFmtId="0" fontId="7" fillId="0" borderId="7" xfId="0" applyFont="1" applyBorder="1" applyAlignment="1" applyProtection="1">
      <alignment horizontal="center" vertical="center" wrapText="1" shrinkToFit="1"/>
      <protection locked="0"/>
    </xf>
    <xf numFmtId="0" fontId="7" fillId="0" borderId="13" xfId="0" applyFont="1" applyBorder="1" applyAlignment="1" applyProtection="1">
      <alignment horizontal="center" vertical="center" shrinkToFit="1"/>
      <protection locked="0"/>
    </xf>
    <xf numFmtId="0" fontId="7" fillId="0" borderId="36" xfId="0" applyFont="1" applyBorder="1" applyAlignment="1" applyProtection="1">
      <alignment horizontal="center"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2" xfId="0" applyFont="1" applyBorder="1" applyAlignment="1" applyProtection="1">
      <alignment horizontal="center" vertical="center" wrapText="1"/>
      <protection locked="0"/>
    </xf>
    <xf numFmtId="0" fontId="7" fillId="0" borderId="33" xfId="0" applyFont="1" applyBorder="1" applyAlignment="1" applyProtection="1">
      <alignment horizontal="center" vertical="center"/>
      <protection locked="0"/>
    </xf>
    <xf numFmtId="176" fontId="7" fillId="2" borderId="32" xfId="0" applyNumberFormat="1" applyFont="1" applyFill="1" applyBorder="1" applyAlignment="1" applyProtection="1">
      <alignment horizontal="center" vertical="center"/>
      <protection hidden="1"/>
    </xf>
    <xf numFmtId="176" fontId="7" fillId="2" borderId="33" xfId="0" applyNumberFormat="1" applyFont="1" applyFill="1" applyBorder="1" applyAlignment="1" applyProtection="1">
      <alignment horizontal="center" vertical="center"/>
      <protection hidden="1"/>
    </xf>
    <xf numFmtId="0" fontId="7" fillId="2" borderId="5" xfId="0" applyFont="1" applyFill="1" applyBorder="1" applyAlignment="1" applyProtection="1">
      <alignment horizontal="center" vertical="center"/>
      <protection locked="0"/>
    </xf>
    <xf numFmtId="0" fontId="7" fillId="2" borderId="30" xfId="0" applyFont="1" applyFill="1" applyBorder="1" applyAlignment="1" applyProtection="1">
      <alignment horizontal="center" vertical="center"/>
      <protection locked="0"/>
    </xf>
    <xf numFmtId="0" fontId="7" fillId="2" borderId="6" xfId="0" applyFont="1" applyFill="1" applyBorder="1" applyAlignment="1" applyProtection="1">
      <alignment horizontal="center" vertical="center"/>
      <protection locked="0"/>
    </xf>
    <xf numFmtId="0" fontId="7" fillId="2" borderId="31" xfId="0" applyFont="1" applyFill="1" applyBorder="1" applyAlignment="1" applyProtection="1">
      <alignment horizontal="center" vertical="center"/>
      <protection locked="0"/>
    </xf>
    <xf numFmtId="1" fontId="7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7" fillId="2" borderId="4" xfId="0" applyFont="1" applyFill="1" applyBorder="1" applyAlignment="1" applyProtection="1">
      <alignment horizontal="center" vertical="center"/>
      <protection locked="0"/>
    </xf>
    <xf numFmtId="0" fontId="7" fillId="2" borderId="2" xfId="0" applyFont="1" applyFill="1" applyBorder="1" applyAlignment="1" applyProtection="1">
      <alignment horizontal="center" vertical="center"/>
      <protection locked="0"/>
    </xf>
    <xf numFmtId="41" fontId="7" fillId="2" borderId="32" xfId="0" applyNumberFormat="1" applyFont="1" applyFill="1" applyBorder="1" applyAlignment="1" applyProtection="1">
      <alignment horizontal="center" vertical="center"/>
      <protection hidden="1"/>
    </xf>
    <xf numFmtId="41" fontId="7" fillId="2" borderId="33" xfId="0" applyNumberFormat="1" applyFont="1" applyFill="1" applyBorder="1" applyAlignment="1" applyProtection="1">
      <alignment horizontal="center" vertical="center"/>
      <protection hidden="1"/>
    </xf>
    <xf numFmtId="41" fontId="7" fillId="2" borderId="28" xfId="0" applyNumberFormat="1" applyFont="1" applyFill="1" applyBorder="1" applyAlignment="1" applyProtection="1">
      <alignment horizontal="center" vertical="center"/>
      <protection hidden="1"/>
    </xf>
    <xf numFmtId="0" fontId="11" fillId="0" borderId="0" xfId="0" applyFont="1" applyAlignment="1" applyProtection="1">
      <alignment horizontal="left" vertical="center"/>
      <protection locked="0"/>
    </xf>
    <xf numFmtId="0" fontId="7" fillId="0" borderId="3" xfId="0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7" fillId="0" borderId="6" xfId="0" applyFont="1" applyBorder="1" applyAlignment="1" applyProtection="1">
      <alignment horizontal="center" vertical="center"/>
      <protection locked="0"/>
    </xf>
    <xf numFmtId="0" fontId="7" fillId="0" borderId="26" xfId="0" applyFont="1" applyBorder="1" applyAlignment="1" applyProtection="1">
      <alignment horizontal="center" vertical="center" wrapText="1"/>
      <protection locked="0"/>
    </xf>
    <xf numFmtId="0" fontId="7" fillId="0" borderId="27" xfId="0" applyFont="1" applyBorder="1" applyAlignment="1" applyProtection="1">
      <alignment horizontal="center" vertical="center"/>
      <protection locked="0"/>
    </xf>
    <xf numFmtId="0" fontId="7" fillId="0" borderId="47" xfId="0" applyFont="1" applyBorder="1" applyAlignment="1" applyProtection="1">
      <alignment horizontal="center" vertical="center"/>
      <protection locked="0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pageSetUpPr fitToPage="1"/>
  </sheetPr>
  <dimension ref="B1:AO23"/>
  <sheetViews>
    <sheetView showGridLines="0" zoomScale="85" zoomScaleNormal="85" workbookViewId="0">
      <pane xSplit="10" ySplit="5" topLeftCell="AE6" activePane="bottomRight" state="frozen"/>
      <selection pane="topRight" activeCell="H1" sqref="H1"/>
      <selection pane="bottomLeft" activeCell="A6" sqref="A6"/>
      <selection pane="bottomRight" activeCell="AN30" sqref="AN30"/>
    </sheetView>
  </sheetViews>
  <sheetFormatPr defaultColWidth="9.125" defaultRowHeight="14.25" x14ac:dyDescent="0.2"/>
  <cols>
    <col min="1" max="1" width="0.375" style="1" customWidth="1"/>
    <col min="2" max="2" width="12.375" style="2" bestFit="1" customWidth="1"/>
    <col min="3" max="3" width="18.375" style="5" bestFit="1" customWidth="1"/>
    <col min="4" max="6" width="10.625" style="1" customWidth="1"/>
    <col min="7" max="9" width="10.625" style="2" customWidth="1"/>
    <col min="10" max="10" width="10.625" style="3" customWidth="1"/>
    <col min="11" max="41" width="10.625" style="4" customWidth="1"/>
    <col min="42" max="16384" width="9.125" style="1"/>
  </cols>
  <sheetData>
    <row r="1" spans="2:41" ht="3.75" customHeight="1" x14ac:dyDescent="0.2"/>
    <row r="2" spans="2:41" ht="16.5" x14ac:dyDescent="0.2">
      <c r="B2" s="122" t="s">
        <v>52</v>
      </c>
      <c r="C2" s="122"/>
      <c r="D2" s="122"/>
      <c r="E2" s="122"/>
      <c r="F2" s="122"/>
      <c r="G2" s="122"/>
      <c r="H2" s="122"/>
      <c r="I2" s="122"/>
      <c r="J2" s="122"/>
    </row>
    <row r="3" spans="2:41" ht="4.9000000000000004" customHeight="1" x14ac:dyDescent="0.2"/>
    <row r="4" spans="2:41" ht="20.100000000000001" customHeight="1" x14ac:dyDescent="0.2">
      <c r="B4" s="131" t="s">
        <v>2</v>
      </c>
      <c r="C4" s="133" t="s">
        <v>3</v>
      </c>
      <c r="D4" s="135" t="s">
        <v>4</v>
      </c>
      <c r="E4" s="129" t="s">
        <v>5</v>
      </c>
      <c r="F4" s="123" t="s">
        <v>43</v>
      </c>
      <c r="G4" s="124"/>
      <c r="H4" s="124"/>
      <c r="I4" s="124"/>
      <c r="J4" s="127" t="s">
        <v>6</v>
      </c>
      <c r="K4" s="91"/>
      <c r="L4" s="120" t="s">
        <v>7</v>
      </c>
      <c r="M4" s="120"/>
      <c r="N4" s="120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  <c r="AA4" s="120"/>
      <c r="AB4" s="120"/>
      <c r="AC4" s="120"/>
      <c r="AD4" s="120"/>
      <c r="AE4" s="120"/>
      <c r="AF4" s="120"/>
      <c r="AG4" s="120"/>
      <c r="AH4" s="120"/>
      <c r="AI4" s="120"/>
      <c r="AJ4" s="120"/>
      <c r="AK4" s="120"/>
      <c r="AL4" s="120"/>
      <c r="AM4" s="120"/>
      <c r="AN4" s="120"/>
      <c r="AO4" s="121"/>
    </row>
    <row r="5" spans="2:41" ht="20.100000000000001" customHeight="1" x14ac:dyDescent="0.2">
      <c r="B5" s="132"/>
      <c r="C5" s="134"/>
      <c r="D5" s="136"/>
      <c r="E5" s="130"/>
      <c r="F5" s="75" t="s">
        <v>42</v>
      </c>
      <c r="G5" s="7" t="s">
        <v>48</v>
      </c>
      <c r="H5" s="76" t="s">
        <v>44</v>
      </c>
      <c r="I5" s="75" t="s">
        <v>41</v>
      </c>
      <c r="J5" s="128"/>
      <c r="K5" s="93">
        <v>46022</v>
      </c>
      <c r="L5" s="6">
        <v>1</v>
      </c>
      <c r="M5" s="7">
        <v>2</v>
      </c>
      <c r="N5" s="7">
        <v>3</v>
      </c>
      <c r="O5" s="7">
        <v>4</v>
      </c>
      <c r="P5" s="7">
        <v>5</v>
      </c>
      <c r="Q5" s="7">
        <v>6</v>
      </c>
      <c r="R5" s="7">
        <v>7</v>
      </c>
      <c r="S5" s="7">
        <v>8</v>
      </c>
      <c r="T5" s="7">
        <v>9</v>
      </c>
      <c r="U5" s="7">
        <v>10</v>
      </c>
      <c r="V5" s="7">
        <v>11</v>
      </c>
      <c r="W5" s="7">
        <v>12</v>
      </c>
      <c r="X5" s="7">
        <v>13</v>
      </c>
      <c r="Y5" s="7">
        <v>14</v>
      </c>
      <c r="Z5" s="7">
        <v>15</v>
      </c>
      <c r="AA5" s="7">
        <v>16</v>
      </c>
      <c r="AB5" s="7">
        <v>17</v>
      </c>
      <c r="AC5" s="7">
        <v>18</v>
      </c>
      <c r="AD5" s="7">
        <v>19</v>
      </c>
      <c r="AE5" s="7">
        <v>20</v>
      </c>
      <c r="AF5" s="7">
        <v>21</v>
      </c>
      <c r="AG5" s="7">
        <v>22</v>
      </c>
      <c r="AH5" s="7">
        <v>23</v>
      </c>
      <c r="AI5" s="7">
        <v>24</v>
      </c>
      <c r="AJ5" s="7">
        <v>25</v>
      </c>
      <c r="AK5" s="7">
        <v>26</v>
      </c>
      <c r="AL5" s="7">
        <v>27</v>
      </c>
      <c r="AM5" s="7">
        <v>28</v>
      </c>
      <c r="AN5" s="7">
        <v>29</v>
      </c>
      <c r="AO5" s="9">
        <v>30</v>
      </c>
    </row>
    <row r="6" spans="2:41" ht="20.100000000000001" customHeight="1" x14ac:dyDescent="0.2">
      <c r="B6" s="10">
        <v>10553408</v>
      </c>
      <c r="C6" s="52" t="s">
        <v>27</v>
      </c>
      <c r="D6" s="87">
        <v>6000</v>
      </c>
      <c r="E6" s="12">
        <f t="shared" ref="E6:E19" si="0">D6*J6</f>
        <v>1026000</v>
      </c>
      <c r="F6" s="47">
        <f>'POSTING,TR,COMP'!F6</f>
        <v>130</v>
      </c>
      <c r="G6" s="15">
        <f>'POSTING,TR,COMP'!F27</f>
        <v>0</v>
      </c>
      <c r="H6" s="12">
        <f>'POSTING,TR,COMP'!F48</f>
        <v>0</v>
      </c>
      <c r="I6" s="30">
        <f t="shared" ref="I6:I19" si="1">J6-F6</f>
        <v>41</v>
      </c>
      <c r="J6" s="13">
        <f t="shared" ref="J6:J19" si="2">SUM(K6:AO6)</f>
        <v>171</v>
      </c>
      <c r="K6" s="47">
        <f>'Mar 31'!G6</f>
        <v>5</v>
      </c>
      <c r="L6" s="14">
        <f>'1'!G6</f>
        <v>6</v>
      </c>
      <c r="M6" s="15">
        <f>'2'!G6</f>
        <v>7</v>
      </c>
      <c r="N6" s="15">
        <f>'3'!G6</f>
        <v>5</v>
      </c>
      <c r="O6" s="15">
        <f>'4'!G6</f>
        <v>7</v>
      </c>
      <c r="P6" s="15">
        <f>'5'!G6</f>
        <v>4</v>
      </c>
      <c r="Q6" s="15">
        <f>'6'!G6</f>
        <v>3</v>
      </c>
      <c r="R6" s="15">
        <f>'7'!G6</f>
        <v>2</v>
      </c>
      <c r="S6" s="15">
        <f>'8'!G6</f>
        <v>6</v>
      </c>
      <c r="T6" s="15">
        <f>'9'!G6</f>
        <v>6</v>
      </c>
      <c r="U6" s="15">
        <f>'10'!G6</f>
        <v>9</v>
      </c>
      <c r="V6" s="15">
        <f>'11'!G6</f>
        <v>4</v>
      </c>
      <c r="W6" s="15">
        <f>'12'!G6</f>
        <v>3</v>
      </c>
      <c r="X6" s="15">
        <f>'13'!G6</f>
        <v>8</v>
      </c>
      <c r="Y6" s="15">
        <f>'14'!G6</f>
        <v>7</v>
      </c>
      <c r="Z6" s="15">
        <f>'15'!G6</f>
        <v>10</v>
      </c>
      <c r="AA6" s="15">
        <f>'16'!G6</f>
        <v>10</v>
      </c>
      <c r="AB6" s="15">
        <f>'17 (1)'!G6</f>
        <v>10</v>
      </c>
      <c r="AC6" s="15">
        <f>'18'!G6</f>
        <v>6</v>
      </c>
      <c r="AD6" s="15">
        <f>'19'!G6</f>
        <v>4</v>
      </c>
      <c r="AE6" s="15">
        <f>'20'!G6</f>
        <v>5</v>
      </c>
      <c r="AF6" s="15">
        <f>'21'!G6</f>
        <v>2</v>
      </c>
      <c r="AG6" s="15">
        <f>'22'!G6</f>
        <v>7</v>
      </c>
      <c r="AH6" s="15">
        <f>'23'!G6</f>
        <v>7</v>
      </c>
      <c r="AI6" s="15">
        <f>'24'!G6</f>
        <v>4</v>
      </c>
      <c r="AJ6" s="15">
        <f>'25'!G6</f>
        <v>10</v>
      </c>
      <c r="AK6" s="15">
        <f>'26'!G6</f>
        <v>9</v>
      </c>
      <c r="AL6" s="15">
        <f>'27'!G6</f>
        <v>2</v>
      </c>
      <c r="AM6" s="15">
        <f>'28'!G6</f>
        <v>3</v>
      </c>
      <c r="AN6" s="15">
        <f>'29'!G6</f>
        <v>0</v>
      </c>
      <c r="AO6" s="12">
        <f>'30'!G6</f>
        <v>0</v>
      </c>
    </row>
    <row r="7" spans="2:41" ht="20.100000000000001" customHeight="1" x14ac:dyDescent="0.2">
      <c r="B7" s="16">
        <v>10553612</v>
      </c>
      <c r="C7" s="53" t="s">
        <v>28</v>
      </c>
      <c r="D7" s="88">
        <v>6500</v>
      </c>
      <c r="E7" s="18">
        <f t="shared" si="0"/>
        <v>838500</v>
      </c>
      <c r="F7" s="48">
        <f>'POSTING,TR,COMP'!F7</f>
        <v>95</v>
      </c>
      <c r="G7" s="21">
        <f>'POSTING,TR,COMP'!F28</f>
        <v>0</v>
      </c>
      <c r="H7" s="18">
        <f>'POSTING,TR,COMP'!F49</f>
        <v>0</v>
      </c>
      <c r="I7" s="31">
        <f t="shared" si="1"/>
        <v>34</v>
      </c>
      <c r="J7" s="19">
        <f t="shared" si="2"/>
        <v>129</v>
      </c>
      <c r="K7" s="48">
        <f>'Mar 31'!G7</f>
        <v>4</v>
      </c>
      <c r="L7" s="20">
        <f>'1'!G7</f>
        <v>3</v>
      </c>
      <c r="M7" s="21">
        <f>'2'!G7</f>
        <v>4</v>
      </c>
      <c r="N7" s="21">
        <f>'3'!G7</f>
        <v>5</v>
      </c>
      <c r="O7" s="21">
        <f>'4'!G7</f>
        <v>7</v>
      </c>
      <c r="P7" s="21">
        <f>'5'!G7</f>
        <v>1</v>
      </c>
      <c r="Q7" s="21">
        <f>'6'!G7</f>
        <v>3</v>
      </c>
      <c r="R7" s="21">
        <f>'7'!G7</f>
        <v>4</v>
      </c>
      <c r="S7" s="21">
        <f>'8'!G7</f>
        <v>3</v>
      </c>
      <c r="T7" s="21">
        <f>'9'!G7</f>
        <v>4</v>
      </c>
      <c r="U7" s="21">
        <f>'10'!G7</f>
        <v>7</v>
      </c>
      <c r="V7" s="21">
        <f>'11'!G7</f>
        <v>2</v>
      </c>
      <c r="W7" s="21">
        <f>'12'!G7</f>
        <v>4</v>
      </c>
      <c r="X7" s="21">
        <f>'13'!G7</f>
        <v>4</v>
      </c>
      <c r="Y7" s="21">
        <f>'14'!G7</f>
        <v>1</v>
      </c>
      <c r="Z7" s="21">
        <f>'15'!G7</f>
        <v>6</v>
      </c>
      <c r="AA7" s="21">
        <f>'16'!G7</f>
        <v>7</v>
      </c>
      <c r="AB7" s="21">
        <f>'17 (1)'!G7</f>
        <v>10</v>
      </c>
      <c r="AC7" s="21">
        <f>'18'!G7</f>
        <v>2</v>
      </c>
      <c r="AD7" s="21">
        <f>'19'!G7</f>
        <v>4</v>
      </c>
      <c r="AE7" s="21">
        <f>'20'!G7</f>
        <v>2</v>
      </c>
      <c r="AF7" s="21">
        <f>'21'!G7</f>
        <v>5</v>
      </c>
      <c r="AG7" s="21">
        <f>'22'!G7</f>
        <v>3</v>
      </c>
      <c r="AH7" s="21">
        <f>'23'!G7</f>
        <v>8</v>
      </c>
      <c r="AI7" s="21">
        <f>'24'!G7</f>
        <v>2</v>
      </c>
      <c r="AJ7" s="21">
        <f>'25'!G7</f>
        <v>6</v>
      </c>
      <c r="AK7" s="21">
        <f>'26'!G7</f>
        <v>9</v>
      </c>
      <c r="AL7" s="21">
        <f>'27'!G7</f>
        <v>3</v>
      </c>
      <c r="AM7" s="21">
        <f>'28'!G7</f>
        <v>6</v>
      </c>
      <c r="AN7" s="21">
        <f>'29'!G7</f>
        <v>0</v>
      </c>
      <c r="AO7" s="18">
        <f>'30'!G7</f>
        <v>0</v>
      </c>
    </row>
    <row r="8" spans="2:41" ht="20.100000000000001" customHeight="1" x14ac:dyDescent="0.2">
      <c r="B8" s="16">
        <v>10553613</v>
      </c>
      <c r="C8" s="53" t="s">
        <v>29</v>
      </c>
      <c r="D8" s="88">
        <v>7000</v>
      </c>
      <c r="E8" s="18">
        <f t="shared" si="0"/>
        <v>406000</v>
      </c>
      <c r="F8" s="48">
        <f>'POSTING,TR,COMP'!F8</f>
        <v>39</v>
      </c>
      <c r="G8" s="21">
        <f>'POSTING,TR,COMP'!F29</f>
        <v>0</v>
      </c>
      <c r="H8" s="18">
        <f>'POSTING,TR,COMP'!F50</f>
        <v>0</v>
      </c>
      <c r="I8" s="31">
        <f t="shared" si="1"/>
        <v>19</v>
      </c>
      <c r="J8" s="19">
        <f t="shared" si="2"/>
        <v>58</v>
      </c>
      <c r="K8" s="48">
        <f>'Mar 31'!G8</f>
        <v>2</v>
      </c>
      <c r="L8" s="20">
        <f>'1'!G8</f>
        <v>0</v>
      </c>
      <c r="M8" s="21">
        <f>'2'!G8</f>
        <v>7</v>
      </c>
      <c r="N8" s="21">
        <f>'3'!G8</f>
        <v>2</v>
      </c>
      <c r="O8" s="21">
        <f>'4'!G8</f>
        <v>2</v>
      </c>
      <c r="P8" s="21">
        <f>'5'!G8</f>
        <v>1</v>
      </c>
      <c r="Q8" s="21">
        <f>'6'!G8</f>
        <v>1</v>
      </c>
      <c r="R8" s="21">
        <f>'7'!G8</f>
        <v>5</v>
      </c>
      <c r="S8" s="21">
        <f>'8'!G8</f>
        <v>1</v>
      </c>
      <c r="T8" s="21">
        <f>'9'!G8</f>
        <v>2</v>
      </c>
      <c r="U8" s="21">
        <f>'10'!G8</f>
        <v>4</v>
      </c>
      <c r="V8" s="21">
        <f>'11'!G8</f>
        <v>0</v>
      </c>
      <c r="W8" s="21">
        <f>'12'!G8</f>
        <v>3</v>
      </c>
      <c r="X8" s="21">
        <f>'13'!G8</f>
        <v>0</v>
      </c>
      <c r="Y8" s="21">
        <f>'14'!G8</f>
        <v>3</v>
      </c>
      <c r="Z8" s="21">
        <f>'15'!G8</f>
        <v>2</v>
      </c>
      <c r="AA8" s="21">
        <f>'16'!G8</f>
        <v>7</v>
      </c>
      <c r="AB8" s="21">
        <f>'17 (1)'!G8</f>
        <v>2</v>
      </c>
      <c r="AC8" s="21">
        <f>'18'!G8</f>
        <v>1</v>
      </c>
      <c r="AD8" s="21">
        <f>'19'!G8</f>
        <v>1</v>
      </c>
      <c r="AE8" s="21">
        <f>'20'!G8</f>
        <v>1</v>
      </c>
      <c r="AF8" s="21">
        <f>'21'!G8</f>
        <v>1</v>
      </c>
      <c r="AG8" s="21">
        <f>'22'!G8</f>
        <v>4</v>
      </c>
      <c r="AH8" s="21">
        <f>'23'!G8</f>
        <v>3</v>
      </c>
      <c r="AI8" s="21">
        <f>'24'!G8</f>
        <v>2</v>
      </c>
      <c r="AJ8" s="21">
        <f>'25'!G8</f>
        <v>0</v>
      </c>
      <c r="AK8" s="21">
        <f>'26'!G8</f>
        <v>0</v>
      </c>
      <c r="AL8" s="21">
        <f>'27'!G8</f>
        <v>0</v>
      </c>
      <c r="AM8" s="21">
        <f>'28'!G8</f>
        <v>1</v>
      </c>
      <c r="AN8" s="21">
        <f>'29'!G8</f>
        <v>0</v>
      </c>
      <c r="AO8" s="18">
        <f>'30'!G8</f>
        <v>0</v>
      </c>
    </row>
    <row r="9" spans="2:41" ht="20.100000000000001" customHeight="1" x14ac:dyDescent="0.2">
      <c r="B9" s="16">
        <v>12412003</v>
      </c>
      <c r="C9" s="53" t="s">
        <v>30</v>
      </c>
      <c r="D9" s="88">
        <v>5500</v>
      </c>
      <c r="E9" s="18">
        <f t="shared" si="0"/>
        <v>2442000</v>
      </c>
      <c r="F9" s="48">
        <f>'POSTING,TR,COMP'!F9</f>
        <v>331</v>
      </c>
      <c r="G9" s="21">
        <f>'POSTING,TR,COMP'!F30</f>
        <v>0</v>
      </c>
      <c r="H9" s="18">
        <f>'POSTING,TR,COMP'!F51</f>
        <v>17</v>
      </c>
      <c r="I9" s="31">
        <f t="shared" si="1"/>
        <v>113</v>
      </c>
      <c r="J9" s="19">
        <f t="shared" si="2"/>
        <v>444</v>
      </c>
      <c r="K9" s="48">
        <f>'Mar 31'!G9</f>
        <v>13</v>
      </c>
      <c r="L9" s="20">
        <f>'1'!G9</f>
        <v>14</v>
      </c>
      <c r="M9" s="21">
        <f>'2'!G9</f>
        <v>7</v>
      </c>
      <c r="N9" s="21">
        <f>'3'!G9</f>
        <v>15</v>
      </c>
      <c r="O9" s="21">
        <f>'4'!G9</f>
        <v>18</v>
      </c>
      <c r="P9" s="21">
        <f>'5'!G9</f>
        <v>16</v>
      </c>
      <c r="Q9" s="21">
        <f>'6'!G9</f>
        <v>21</v>
      </c>
      <c r="R9" s="21">
        <f>'7'!G9</f>
        <v>16</v>
      </c>
      <c r="S9" s="21">
        <f>'8'!G9</f>
        <v>20</v>
      </c>
      <c r="T9" s="21">
        <f>'9'!G9</f>
        <v>11</v>
      </c>
      <c r="U9" s="21">
        <f>'10'!G9</f>
        <v>16</v>
      </c>
      <c r="V9" s="21">
        <f>'11'!G9</f>
        <v>18</v>
      </c>
      <c r="W9" s="21">
        <f>'12'!G9</f>
        <v>5</v>
      </c>
      <c r="X9" s="21">
        <f>'13'!G9</f>
        <v>16</v>
      </c>
      <c r="Y9" s="21">
        <f>'14'!G9</f>
        <v>7</v>
      </c>
      <c r="Z9" s="21">
        <f>'15'!G9</f>
        <v>22</v>
      </c>
      <c r="AA9" s="21">
        <f>'16'!G9</f>
        <v>29</v>
      </c>
      <c r="AB9" s="21">
        <f>'17 (1)'!G9</f>
        <v>26</v>
      </c>
      <c r="AC9" s="21">
        <f>'18'!G9</f>
        <v>14</v>
      </c>
      <c r="AD9" s="21">
        <f>'19'!G9</f>
        <v>15</v>
      </c>
      <c r="AE9" s="21">
        <f>'20'!G9</f>
        <v>6</v>
      </c>
      <c r="AF9" s="21">
        <f>'21'!G9</f>
        <v>11</v>
      </c>
      <c r="AG9" s="21">
        <f>'22'!G9</f>
        <v>20</v>
      </c>
      <c r="AH9" s="21">
        <f>'23'!G9</f>
        <v>16</v>
      </c>
      <c r="AI9" s="21">
        <f>'24'!G9</f>
        <v>23</v>
      </c>
      <c r="AJ9" s="21">
        <f>'25'!G9</f>
        <v>22</v>
      </c>
      <c r="AK9" s="21">
        <f>'26'!G9</f>
        <v>7</v>
      </c>
      <c r="AL9" s="21">
        <f>'27'!G9</f>
        <v>9</v>
      </c>
      <c r="AM9" s="21">
        <f>'28'!G9</f>
        <v>11</v>
      </c>
      <c r="AN9" s="21">
        <f>'29'!G9</f>
        <v>0</v>
      </c>
      <c r="AO9" s="18">
        <f>'30'!G9</f>
        <v>0</v>
      </c>
    </row>
    <row r="10" spans="2:41" ht="20.100000000000001" customHeight="1" x14ac:dyDescent="0.2">
      <c r="B10" s="16">
        <v>12412022</v>
      </c>
      <c r="C10" s="53" t="s">
        <v>31</v>
      </c>
      <c r="D10" s="88">
        <v>4000</v>
      </c>
      <c r="E10" s="18">
        <f t="shared" si="0"/>
        <v>204000</v>
      </c>
      <c r="F10" s="48">
        <f>'POSTING,TR,COMP'!F10</f>
        <v>47</v>
      </c>
      <c r="G10" s="21">
        <f>'POSTING,TR,COMP'!F31</f>
        <v>0</v>
      </c>
      <c r="H10" s="18">
        <f>'POSTING,TR,COMP'!F52</f>
        <v>0</v>
      </c>
      <c r="I10" s="31">
        <f t="shared" si="1"/>
        <v>4</v>
      </c>
      <c r="J10" s="19">
        <f t="shared" si="2"/>
        <v>51</v>
      </c>
      <c r="K10" s="48">
        <f>'Mar 31'!G10</f>
        <v>1</v>
      </c>
      <c r="L10" s="20">
        <f>'1'!G10</f>
        <v>0</v>
      </c>
      <c r="M10" s="21">
        <f>'2'!G10</f>
        <v>1</v>
      </c>
      <c r="N10" s="21">
        <f>'3'!G10</f>
        <v>0</v>
      </c>
      <c r="O10" s="21">
        <f>'4'!G10</f>
        <v>4</v>
      </c>
      <c r="P10" s="21">
        <f>'5'!G10</f>
        <v>1</v>
      </c>
      <c r="Q10" s="21">
        <f>'6'!G10</f>
        <v>3</v>
      </c>
      <c r="R10" s="21">
        <f>'7'!G10</f>
        <v>3</v>
      </c>
      <c r="S10" s="21">
        <f>'8'!G10</f>
        <v>3</v>
      </c>
      <c r="T10" s="21">
        <f>'9'!G10</f>
        <v>1</v>
      </c>
      <c r="U10" s="21">
        <f>'10'!G10</f>
        <v>1</v>
      </c>
      <c r="V10" s="21">
        <f>'11'!G10</f>
        <v>2</v>
      </c>
      <c r="W10" s="21">
        <f>'12'!G10</f>
        <v>1</v>
      </c>
      <c r="X10" s="21">
        <f>'13'!G10</f>
        <v>2</v>
      </c>
      <c r="Y10" s="21">
        <f>'14'!G10</f>
        <v>2</v>
      </c>
      <c r="Z10" s="21">
        <f>'15'!G10</f>
        <v>2</v>
      </c>
      <c r="AA10" s="21">
        <f>'16'!G10</f>
        <v>1</v>
      </c>
      <c r="AB10" s="21">
        <f>'17 (1)'!G10</f>
        <v>5</v>
      </c>
      <c r="AC10" s="21">
        <f>'18'!G10</f>
        <v>3</v>
      </c>
      <c r="AD10" s="21">
        <f>'19'!G10</f>
        <v>3</v>
      </c>
      <c r="AE10" s="21">
        <f>'20'!G10</f>
        <v>2</v>
      </c>
      <c r="AF10" s="21">
        <f>'21'!G10</f>
        <v>1</v>
      </c>
      <c r="AG10" s="21">
        <f>'22'!G10</f>
        <v>1</v>
      </c>
      <c r="AH10" s="21">
        <f>'23'!G10</f>
        <v>2</v>
      </c>
      <c r="AI10" s="21">
        <f>'24'!G10</f>
        <v>2</v>
      </c>
      <c r="AJ10" s="21">
        <f>'25'!G10</f>
        <v>2</v>
      </c>
      <c r="AK10" s="21">
        <f>'26'!G10</f>
        <v>0</v>
      </c>
      <c r="AL10" s="21">
        <f>'27'!G10</f>
        <v>1</v>
      </c>
      <c r="AM10" s="21">
        <f>'28'!G10</f>
        <v>1</v>
      </c>
      <c r="AN10" s="21">
        <f>'29'!G10</f>
        <v>0</v>
      </c>
      <c r="AO10" s="18">
        <f>'30'!G10</f>
        <v>0</v>
      </c>
    </row>
    <row r="11" spans="2:41" ht="20.100000000000001" customHeight="1" x14ac:dyDescent="0.2">
      <c r="B11" s="16">
        <v>12412023</v>
      </c>
      <c r="C11" s="53" t="s">
        <v>32</v>
      </c>
      <c r="D11" s="88">
        <v>4000</v>
      </c>
      <c r="E11" s="18">
        <f t="shared" si="0"/>
        <v>452000</v>
      </c>
      <c r="F11" s="48">
        <f>'POSTING,TR,COMP'!F11</f>
        <v>73</v>
      </c>
      <c r="G11" s="21">
        <f>'POSTING,TR,COMP'!F32</f>
        <v>0</v>
      </c>
      <c r="H11" s="18">
        <f>'POSTING,TR,COMP'!F53</f>
        <v>0</v>
      </c>
      <c r="I11" s="31">
        <f t="shared" si="1"/>
        <v>40</v>
      </c>
      <c r="J11" s="19">
        <f t="shared" si="2"/>
        <v>113</v>
      </c>
      <c r="K11" s="48">
        <f>'Mar 31'!G11</f>
        <v>0</v>
      </c>
      <c r="L11" s="20">
        <f>'1'!G11</f>
        <v>2</v>
      </c>
      <c r="M11" s="21">
        <f>'2'!G11</f>
        <v>5</v>
      </c>
      <c r="N11" s="21">
        <f>'3'!G11</f>
        <v>10</v>
      </c>
      <c r="O11" s="21">
        <f>'4'!G11</f>
        <v>4</v>
      </c>
      <c r="P11" s="21">
        <f>'5'!G11</f>
        <v>1</v>
      </c>
      <c r="Q11" s="21">
        <f>'6'!G11</f>
        <v>4</v>
      </c>
      <c r="R11" s="21">
        <f>'7'!G11</f>
        <v>1</v>
      </c>
      <c r="S11" s="21">
        <f>'8'!G11</f>
        <v>4</v>
      </c>
      <c r="T11" s="21">
        <f>'9'!G11</f>
        <v>1</v>
      </c>
      <c r="U11" s="21">
        <f>'10'!G11</f>
        <v>3</v>
      </c>
      <c r="V11" s="21">
        <f>'11'!G11</f>
        <v>6</v>
      </c>
      <c r="W11" s="21">
        <f>'12'!G11</f>
        <v>3</v>
      </c>
      <c r="X11" s="21">
        <f>'13'!G11</f>
        <v>1</v>
      </c>
      <c r="Y11" s="21">
        <f>'14'!G11</f>
        <v>5</v>
      </c>
      <c r="Z11" s="21">
        <f>'15'!G11</f>
        <v>9</v>
      </c>
      <c r="AA11" s="21">
        <f>'16'!G11</f>
        <v>3</v>
      </c>
      <c r="AB11" s="21">
        <f>'17 (1)'!G11</f>
        <v>8</v>
      </c>
      <c r="AC11" s="21">
        <f>'18'!G11</f>
        <v>6</v>
      </c>
      <c r="AD11" s="21">
        <f>'19'!G11</f>
        <v>4</v>
      </c>
      <c r="AE11" s="21">
        <f>'20'!G11</f>
        <v>4</v>
      </c>
      <c r="AF11" s="21">
        <f>'21'!G11</f>
        <v>4</v>
      </c>
      <c r="AG11" s="21">
        <f>'22'!G11</f>
        <v>5</v>
      </c>
      <c r="AH11" s="21">
        <f>'23'!G11</f>
        <v>4</v>
      </c>
      <c r="AI11" s="21">
        <f>'24'!G11</f>
        <v>4</v>
      </c>
      <c r="AJ11" s="21">
        <f>'25'!G11</f>
        <v>5</v>
      </c>
      <c r="AK11" s="21">
        <f>'26'!G11</f>
        <v>3</v>
      </c>
      <c r="AL11" s="21">
        <f>'27'!G11</f>
        <v>3</v>
      </c>
      <c r="AM11" s="21">
        <f>'28'!G11</f>
        <v>1</v>
      </c>
      <c r="AN11" s="21">
        <f>'29'!G11</f>
        <v>0</v>
      </c>
      <c r="AO11" s="18">
        <f>'30'!G11</f>
        <v>0</v>
      </c>
    </row>
    <row r="12" spans="2:41" ht="20.100000000000001" customHeight="1" x14ac:dyDescent="0.2">
      <c r="B12" s="16">
        <v>12412026</v>
      </c>
      <c r="C12" s="53" t="s">
        <v>33</v>
      </c>
      <c r="D12" s="88">
        <v>4000</v>
      </c>
      <c r="E12" s="18">
        <f t="shared" si="0"/>
        <v>220000</v>
      </c>
      <c r="F12" s="48">
        <f>'POSTING,TR,COMP'!F12</f>
        <v>39</v>
      </c>
      <c r="G12" s="21">
        <f>'POSTING,TR,COMP'!F33</f>
        <v>0</v>
      </c>
      <c r="H12" s="18">
        <f>'POSTING,TR,COMP'!F54</f>
        <v>0</v>
      </c>
      <c r="I12" s="31">
        <f t="shared" si="1"/>
        <v>16</v>
      </c>
      <c r="J12" s="19">
        <f t="shared" si="2"/>
        <v>55</v>
      </c>
      <c r="K12" s="48">
        <f>'Mar 31'!G12</f>
        <v>2</v>
      </c>
      <c r="L12" s="20">
        <f>'1'!G12</f>
        <v>1</v>
      </c>
      <c r="M12" s="21">
        <f>'2'!G12</f>
        <v>1</v>
      </c>
      <c r="N12" s="21">
        <f>'3'!G12</f>
        <v>0</v>
      </c>
      <c r="O12" s="21">
        <f>'4'!G12</f>
        <v>3</v>
      </c>
      <c r="P12" s="21">
        <f>'5'!G12</f>
        <v>2</v>
      </c>
      <c r="Q12" s="21">
        <f>'6'!G12</f>
        <v>2</v>
      </c>
      <c r="R12" s="21">
        <f>'7'!G12</f>
        <v>1</v>
      </c>
      <c r="S12" s="21">
        <f>'8'!G12</f>
        <v>1</v>
      </c>
      <c r="T12" s="21">
        <f>'9'!G12</f>
        <v>2</v>
      </c>
      <c r="U12" s="21">
        <f>'10'!G12</f>
        <v>1</v>
      </c>
      <c r="V12" s="21">
        <f>'11'!G12</f>
        <v>1</v>
      </c>
      <c r="W12" s="21">
        <f>'12'!G12</f>
        <v>1</v>
      </c>
      <c r="X12" s="21">
        <f>'13'!G12</f>
        <v>0</v>
      </c>
      <c r="Y12" s="21">
        <f>'14'!G12</f>
        <v>2</v>
      </c>
      <c r="Z12" s="21">
        <f>'15'!G12</f>
        <v>4</v>
      </c>
      <c r="AA12" s="21">
        <f>'16'!G12</f>
        <v>3</v>
      </c>
      <c r="AB12" s="21">
        <f>'17 (1)'!G12</f>
        <v>2</v>
      </c>
      <c r="AC12" s="21">
        <f>'18'!G12</f>
        <v>3</v>
      </c>
      <c r="AD12" s="21">
        <f>'19'!G12</f>
        <v>1</v>
      </c>
      <c r="AE12" s="21">
        <f>'20'!G12</f>
        <v>2</v>
      </c>
      <c r="AF12" s="21">
        <f>'21'!G12</f>
        <v>2</v>
      </c>
      <c r="AG12" s="21">
        <f>'22'!G12</f>
        <v>1</v>
      </c>
      <c r="AH12" s="21">
        <f>'23'!G12</f>
        <v>5</v>
      </c>
      <c r="AI12" s="21">
        <f>'24'!G12</f>
        <v>4</v>
      </c>
      <c r="AJ12" s="21">
        <f>'25'!G12</f>
        <v>2</v>
      </c>
      <c r="AK12" s="21">
        <f>'26'!G12</f>
        <v>2</v>
      </c>
      <c r="AL12" s="21">
        <f>'27'!G12</f>
        <v>2</v>
      </c>
      <c r="AM12" s="21">
        <f>'28'!G12</f>
        <v>2</v>
      </c>
      <c r="AN12" s="21">
        <f>'29'!G12</f>
        <v>0</v>
      </c>
      <c r="AO12" s="18">
        <f>'30'!G12</f>
        <v>0</v>
      </c>
    </row>
    <row r="13" spans="2:41" ht="20.100000000000001" customHeight="1" x14ac:dyDescent="0.2">
      <c r="B13" s="16">
        <v>12412239</v>
      </c>
      <c r="C13" s="53" t="s">
        <v>34</v>
      </c>
      <c r="D13" s="88">
        <v>5000</v>
      </c>
      <c r="E13" s="18">
        <f t="shared" si="0"/>
        <v>180000</v>
      </c>
      <c r="F13" s="48">
        <f>'POSTING,TR,COMP'!F13</f>
        <v>18</v>
      </c>
      <c r="G13" s="21">
        <f>'POSTING,TR,COMP'!F34</f>
        <v>0</v>
      </c>
      <c r="H13" s="18">
        <f>'POSTING,TR,COMP'!F55</f>
        <v>0</v>
      </c>
      <c r="I13" s="31">
        <f t="shared" si="1"/>
        <v>18</v>
      </c>
      <c r="J13" s="19">
        <f t="shared" si="2"/>
        <v>36</v>
      </c>
      <c r="K13" s="48">
        <f>'Mar 31'!G13</f>
        <v>1</v>
      </c>
      <c r="L13" s="20">
        <f>'1'!G13</f>
        <v>1</v>
      </c>
      <c r="M13" s="21">
        <f>'2'!G13</f>
        <v>0</v>
      </c>
      <c r="N13" s="21">
        <f>'3'!G13</f>
        <v>2</v>
      </c>
      <c r="O13" s="21">
        <f>'4'!G13</f>
        <v>1</v>
      </c>
      <c r="P13" s="21">
        <f>'5'!G13</f>
        <v>2</v>
      </c>
      <c r="Q13" s="21">
        <f>'6'!G13</f>
        <v>0</v>
      </c>
      <c r="R13" s="21">
        <f>'7'!G13</f>
        <v>0</v>
      </c>
      <c r="S13" s="21">
        <f>'8'!G13</f>
        <v>2</v>
      </c>
      <c r="T13" s="21">
        <f>'9'!G13</f>
        <v>0</v>
      </c>
      <c r="U13" s="21">
        <f>'10'!G13</f>
        <v>1</v>
      </c>
      <c r="V13" s="21">
        <f>'11'!G13</f>
        <v>2</v>
      </c>
      <c r="W13" s="21">
        <f>'12'!G13</f>
        <v>0</v>
      </c>
      <c r="X13" s="21">
        <f>'13'!G13</f>
        <v>2</v>
      </c>
      <c r="Y13" s="21">
        <f>'14'!G13</f>
        <v>2</v>
      </c>
      <c r="Z13" s="21">
        <f>'15'!G13</f>
        <v>1</v>
      </c>
      <c r="AA13" s="21">
        <f>'16'!G13</f>
        <v>2</v>
      </c>
      <c r="AB13" s="21">
        <f>'17 (1)'!G13</f>
        <v>4</v>
      </c>
      <c r="AC13" s="21">
        <f>'18'!G13</f>
        <v>0</v>
      </c>
      <c r="AD13" s="21">
        <f>'19'!G13</f>
        <v>0</v>
      </c>
      <c r="AE13" s="21">
        <f>'20'!G13</f>
        <v>0</v>
      </c>
      <c r="AF13" s="21">
        <f>'21'!G13</f>
        <v>0</v>
      </c>
      <c r="AG13" s="21">
        <f>'22'!G13</f>
        <v>1</v>
      </c>
      <c r="AH13" s="21">
        <f>'23'!G13</f>
        <v>2</v>
      </c>
      <c r="AI13" s="21">
        <f>'24'!G13</f>
        <v>3</v>
      </c>
      <c r="AJ13" s="21">
        <f>'25'!G13</f>
        <v>4</v>
      </c>
      <c r="AK13" s="21">
        <f>'26'!G13</f>
        <v>1</v>
      </c>
      <c r="AL13" s="21">
        <f>'27'!G13</f>
        <v>0</v>
      </c>
      <c r="AM13" s="21">
        <f>'28'!G13</f>
        <v>2</v>
      </c>
      <c r="AN13" s="21">
        <f>'29'!G13</f>
        <v>0</v>
      </c>
      <c r="AO13" s="18">
        <f>'30'!G13</f>
        <v>0</v>
      </c>
    </row>
    <row r="14" spans="2:41" ht="20.100000000000001" customHeight="1" x14ac:dyDescent="0.2">
      <c r="B14" s="16">
        <v>20312001</v>
      </c>
      <c r="C14" s="53" t="s">
        <v>35</v>
      </c>
      <c r="D14" s="88">
        <v>7000</v>
      </c>
      <c r="E14" s="18">
        <f t="shared" si="0"/>
        <v>378000</v>
      </c>
      <c r="F14" s="48">
        <f>'POSTING,TR,COMP'!F14</f>
        <v>45</v>
      </c>
      <c r="G14" s="21">
        <f>'POSTING,TR,COMP'!F35</f>
        <v>0</v>
      </c>
      <c r="H14" s="18">
        <f>'POSTING,TR,COMP'!F56</f>
        <v>0</v>
      </c>
      <c r="I14" s="31">
        <f t="shared" si="1"/>
        <v>9</v>
      </c>
      <c r="J14" s="19">
        <f t="shared" si="2"/>
        <v>54</v>
      </c>
      <c r="K14" s="48">
        <f>'Mar 31'!G14</f>
        <v>0</v>
      </c>
      <c r="L14" s="20">
        <f>'1'!G14</f>
        <v>2</v>
      </c>
      <c r="M14" s="21">
        <f>'2'!G14</f>
        <v>3</v>
      </c>
      <c r="N14" s="21">
        <f>'3'!G14</f>
        <v>1</v>
      </c>
      <c r="O14" s="21">
        <f>'4'!G14</f>
        <v>1</v>
      </c>
      <c r="P14" s="21">
        <f>'5'!G14</f>
        <v>1</v>
      </c>
      <c r="Q14" s="21">
        <f>'6'!G14</f>
        <v>1</v>
      </c>
      <c r="R14" s="21">
        <f>'7'!G14</f>
        <v>3</v>
      </c>
      <c r="S14" s="21">
        <f>'8'!G14</f>
        <v>1</v>
      </c>
      <c r="T14" s="21">
        <f>'9'!G14</f>
        <v>1</v>
      </c>
      <c r="U14" s="21">
        <f>'10'!G14</f>
        <v>4</v>
      </c>
      <c r="V14" s="21">
        <f>'11'!G14</f>
        <v>2</v>
      </c>
      <c r="W14" s="21">
        <f>'12'!G14</f>
        <v>0</v>
      </c>
      <c r="X14" s="21">
        <f>'13'!G14</f>
        <v>1</v>
      </c>
      <c r="Y14" s="21">
        <f>'14'!G14</f>
        <v>4</v>
      </c>
      <c r="Z14" s="21">
        <f>'15'!G14</f>
        <v>2</v>
      </c>
      <c r="AA14" s="21">
        <f>'16'!G14</f>
        <v>1</v>
      </c>
      <c r="AB14" s="21">
        <f>'17 (1)'!G14</f>
        <v>5</v>
      </c>
      <c r="AC14" s="21">
        <f>'18'!G14</f>
        <v>1</v>
      </c>
      <c r="AD14" s="21">
        <f>'19'!G14</f>
        <v>3</v>
      </c>
      <c r="AE14" s="21">
        <f>'20'!G14</f>
        <v>1</v>
      </c>
      <c r="AF14" s="21">
        <f>'21'!G14</f>
        <v>3</v>
      </c>
      <c r="AG14" s="21">
        <f>'22'!G14</f>
        <v>1</v>
      </c>
      <c r="AH14" s="21">
        <f>'23'!G14</f>
        <v>3</v>
      </c>
      <c r="AI14" s="21">
        <f>'24'!G14</f>
        <v>2</v>
      </c>
      <c r="AJ14" s="21">
        <f>'25'!G14</f>
        <v>2</v>
      </c>
      <c r="AK14" s="21">
        <f>'26'!G14</f>
        <v>2</v>
      </c>
      <c r="AL14" s="21">
        <f>'27'!G14</f>
        <v>0</v>
      </c>
      <c r="AM14" s="21">
        <f>'28'!G14</f>
        <v>3</v>
      </c>
      <c r="AN14" s="21">
        <f>'29'!G14</f>
        <v>0</v>
      </c>
      <c r="AO14" s="18">
        <f>'30'!G14</f>
        <v>0</v>
      </c>
    </row>
    <row r="15" spans="2:41" ht="20.100000000000001" customHeight="1" x14ac:dyDescent="0.2">
      <c r="B15" s="16">
        <v>20312002</v>
      </c>
      <c r="C15" s="53" t="s">
        <v>36</v>
      </c>
      <c r="D15" s="88">
        <v>7000</v>
      </c>
      <c r="E15" s="18">
        <f t="shared" si="0"/>
        <v>546000</v>
      </c>
      <c r="F15" s="48">
        <f>'POSTING,TR,COMP'!F15</f>
        <v>47</v>
      </c>
      <c r="G15" s="21">
        <f>'POSTING,TR,COMP'!F36</f>
        <v>0</v>
      </c>
      <c r="H15" s="18">
        <f>'POSTING,TR,COMP'!F57</f>
        <v>0</v>
      </c>
      <c r="I15" s="31">
        <f t="shared" si="1"/>
        <v>31</v>
      </c>
      <c r="J15" s="19">
        <f t="shared" si="2"/>
        <v>78</v>
      </c>
      <c r="K15" s="48">
        <f>'Mar 31'!G15</f>
        <v>2</v>
      </c>
      <c r="L15" s="20">
        <f>'1'!G15</f>
        <v>1</v>
      </c>
      <c r="M15" s="21">
        <f>'2'!G15</f>
        <v>5</v>
      </c>
      <c r="N15" s="21">
        <f>'3'!G15</f>
        <v>2</v>
      </c>
      <c r="O15" s="21">
        <f>'4'!G15</f>
        <v>3</v>
      </c>
      <c r="P15" s="21">
        <f>'5'!G15</f>
        <v>0</v>
      </c>
      <c r="Q15" s="21">
        <f>'6'!G15</f>
        <v>2</v>
      </c>
      <c r="R15" s="21">
        <f>'7'!G15</f>
        <v>4</v>
      </c>
      <c r="S15" s="21">
        <f>'8'!G15</f>
        <v>1</v>
      </c>
      <c r="T15" s="21">
        <f>'9'!G15</f>
        <v>0</v>
      </c>
      <c r="U15" s="21">
        <f>'10'!G15</f>
        <v>6</v>
      </c>
      <c r="V15" s="21">
        <f>'11'!G15</f>
        <v>0</v>
      </c>
      <c r="W15" s="21">
        <f>'12'!G15</f>
        <v>2</v>
      </c>
      <c r="X15" s="21">
        <f>'13'!G15</f>
        <v>1</v>
      </c>
      <c r="Y15" s="21">
        <f>'14'!G15</f>
        <v>6</v>
      </c>
      <c r="Z15" s="21">
        <f>'15'!G15</f>
        <v>7</v>
      </c>
      <c r="AA15" s="21">
        <f>'16'!G15</f>
        <v>2</v>
      </c>
      <c r="AB15" s="21">
        <f>'17 (1)'!G15</f>
        <v>7</v>
      </c>
      <c r="AC15" s="21">
        <f>'18'!G15</f>
        <v>2</v>
      </c>
      <c r="AD15" s="21">
        <f>'19'!G15</f>
        <v>3</v>
      </c>
      <c r="AE15" s="21">
        <f>'20'!G15</f>
        <v>4</v>
      </c>
      <c r="AF15" s="21">
        <f>'21'!G15</f>
        <v>2</v>
      </c>
      <c r="AG15" s="21">
        <f>'22'!G15</f>
        <v>1</v>
      </c>
      <c r="AH15" s="21">
        <f>'23'!G15</f>
        <v>2</v>
      </c>
      <c r="AI15" s="21">
        <f>'24'!G15</f>
        <v>5</v>
      </c>
      <c r="AJ15" s="21">
        <f>'25'!G15</f>
        <v>4</v>
      </c>
      <c r="AK15" s="21">
        <f>'26'!G15</f>
        <v>2</v>
      </c>
      <c r="AL15" s="21">
        <f>'27'!G15</f>
        <v>0</v>
      </c>
      <c r="AM15" s="21">
        <f>'28'!G15</f>
        <v>2</v>
      </c>
      <c r="AN15" s="21">
        <f>'29'!G15</f>
        <v>0</v>
      </c>
      <c r="AO15" s="18">
        <f>'30'!G15</f>
        <v>0</v>
      </c>
    </row>
    <row r="16" spans="2:41" ht="20.100000000000001" customHeight="1" x14ac:dyDescent="0.2">
      <c r="B16" s="16">
        <v>20312057</v>
      </c>
      <c r="C16" s="53" t="s">
        <v>37</v>
      </c>
      <c r="D16" s="88">
        <v>7000</v>
      </c>
      <c r="E16" s="18">
        <f t="shared" si="0"/>
        <v>0</v>
      </c>
      <c r="F16" s="48">
        <f>'POSTING,TR,COMP'!F16</f>
        <v>0</v>
      </c>
      <c r="G16" s="21">
        <f>'POSTING,TR,COMP'!F37</f>
        <v>0</v>
      </c>
      <c r="H16" s="18">
        <f>'POSTING,TR,COMP'!F58</f>
        <v>0</v>
      </c>
      <c r="I16" s="31">
        <f t="shared" si="1"/>
        <v>0</v>
      </c>
      <c r="J16" s="19">
        <f t="shared" si="2"/>
        <v>0</v>
      </c>
      <c r="K16" s="48">
        <f>'Mar 31'!G16</f>
        <v>0</v>
      </c>
      <c r="L16" s="20">
        <f>'1'!G16</f>
        <v>0</v>
      </c>
      <c r="M16" s="21">
        <f>'2'!G16</f>
        <v>0</v>
      </c>
      <c r="N16" s="21">
        <f>'3'!G16</f>
        <v>0</v>
      </c>
      <c r="O16" s="21">
        <f>'4'!G16</f>
        <v>0</v>
      </c>
      <c r="P16" s="21">
        <f>'5'!G16</f>
        <v>0</v>
      </c>
      <c r="Q16" s="21">
        <f>'6'!G16</f>
        <v>0</v>
      </c>
      <c r="R16" s="21">
        <f>'7'!G16</f>
        <v>0</v>
      </c>
      <c r="S16" s="21">
        <f>'8'!G16</f>
        <v>0</v>
      </c>
      <c r="T16" s="21">
        <f>'9'!G16</f>
        <v>0</v>
      </c>
      <c r="U16" s="21">
        <f>'10'!G16</f>
        <v>0</v>
      </c>
      <c r="V16" s="21">
        <f>'11'!G16</f>
        <v>0</v>
      </c>
      <c r="W16" s="21">
        <f>'12'!G16</f>
        <v>0</v>
      </c>
      <c r="X16" s="21">
        <f>'13'!G16</f>
        <v>0</v>
      </c>
      <c r="Y16" s="21">
        <f>'14'!G16</f>
        <v>0</v>
      </c>
      <c r="Z16" s="21">
        <f>'15'!G16</f>
        <v>0</v>
      </c>
      <c r="AA16" s="21">
        <f>'16'!G16</f>
        <v>0</v>
      </c>
      <c r="AB16" s="21">
        <f>'17 (1)'!G16</f>
        <v>0</v>
      </c>
      <c r="AC16" s="21">
        <f>'18'!G16</f>
        <v>0</v>
      </c>
      <c r="AD16" s="21">
        <f>'19'!G16</f>
        <v>0</v>
      </c>
      <c r="AE16" s="21">
        <f>'20'!G16</f>
        <v>0</v>
      </c>
      <c r="AF16" s="21">
        <f>'21'!G16</f>
        <v>0</v>
      </c>
      <c r="AG16" s="21">
        <f>'22'!G16</f>
        <v>0</v>
      </c>
      <c r="AH16" s="21">
        <f>'23'!G16</f>
        <v>0</v>
      </c>
      <c r="AI16" s="21">
        <f>'24'!G16</f>
        <v>0</v>
      </c>
      <c r="AJ16" s="21">
        <f>'25'!G16</f>
        <v>0</v>
      </c>
      <c r="AK16" s="21">
        <f>'26'!G16</f>
        <v>0</v>
      </c>
      <c r="AL16" s="21">
        <f>'27'!G16</f>
        <v>0</v>
      </c>
      <c r="AM16" s="21">
        <f>'28'!G16</f>
        <v>0</v>
      </c>
      <c r="AN16" s="21">
        <f>'29'!G16</f>
        <v>0</v>
      </c>
      <c r="AO16" s="18">
        <f>'30'!G16</f>
        <v>0</v>
      </c>
    </row>
    <row r="17" spans="2:41" ht="20.100000000000001" customHeight="1" x14ac:dyDescent="0.2">
      <c r="B17" s="16">
        <v>20312058</v>
      </c>
      <c r="C17" s="53" t="s">
        <v>38</v>
      </c>
      <c r="D17" s="88">
        <v>7000</v>
      </c>
      <c r="E17" s="18">
        <f t="shared" si="0"/>
        <v>0</v>
      </c>
      <c r="F17" s="48">
        <f>'POSTING,TR,COMP'!F17</f>
        <v>0</v>
      </c>
      <c r="G17" s="21">
        <f>'POSTING,TR,COMP'!F38</f>
        <v>0</v>
      </c>
      <c r="H17" s="18">
        <f>'POSTING,TR,COMP'!F59</f>
        <v>0</v>
      </c>
      <c r="I17" s="31">
        <f t="shared" si="1"/>
        <v>0</v>
      </c>
      <c r="J17" s="19">
        <f t="shared" si="2"/>
        <v>0</v>
      </c>
      <c r="K17" s="48">
        <f>'Mar 31'!G17</f>
        <v>0</v>
      </c>
      <c r="L17" s="20">
        <f>'1'!G17</f>
        <v>0</v>
      </c>
      <c r="M17" s="21">
        <f>'2'!G17</f>
        <v>0</v>
      </c>
      <c r="N17" s="21">
        <f>'3'!G17</f>
        <v>0</v>
      </c>
      <c r="O17" s="21">
        <f>'4'!G17</f>
        <v>0</v>
      </c>
      <c r="P17" s="21">
        <f>'5'!G17</f>
        <v>0</v>
      </c>
      <c r="Q17" s="21">
        <f>'6'!G17</f>
        <v>0</v>
      </c>
      <c r="R17" s="21">
        <f>'7'!G17</f>
        <v>0</v>
      </c>
      <c r="S17" s="21">
        <f>'8'!G17</f>
        <v>0</v>
      </c>
      <c r="T17" s="21">
        <f>'9'!G17</f>
        <v>0</v>
      </c>
      <c r="U17" s="21">
        <f>'10'!G17</f>
        <v>0</v>
      </c>
      <c r="V17" s="21">
        <f>'11'!G17</f>
        <v>0</v>
      </c>
      <c r="W17" s="21">
        <f>'12'!G17</f>
        <v>0</v>
      </c>
      <c r="X17" s="21">
        <f>'13'!G17</f>
        <v>0</v>
      </c>
      <c r="Y17" s="21">
        <f>'14'!G17</f>
        <v>0</v>
      </c>
      <c r="Z17" s="21">
        <f>'15'!G17</f>
        <v>0</v>
      </c>
      <c r="AA17" s="21">
        <f>'16'!G17</f>
        <v>0</v>
      </c>
      <c r="AB17" s="21">
        <f>'17 (1)'!G17</f>
        <v>0</v>
      </c>
      <c r="AC17" s="21">
        <f>'18'!G17</f>
        <v>0</v>
      </c>
      <c r="AD17" s="21">
        <f>'19'!G17</f>
        <v>0</v>
      </c>
      <c r="AE17" s="21">
        <f>'20'!G17</f>
        <v>0</v>
      </c>
      <c r="AF17" s="21">
        <f>'21'!G17</f>
        <v>0</v>
      </c>
      <c r="AG17" s="21">
        <f>'22'!G17</f>
        <v>0</v>
      </c>
      <c r="AH17" s="21">
        <f>'23'!G17</f>
        <v>0</v>
      </c>
      <c r="AI17" s="21">
        <f>'24'!G17</f>
        <v>0</v>
      </c>
      <c r="AJ17" s="21">
        <f>'25'!G17</f>
        <v>0</v>
      </c>
      <c r="AK17" s="21">
        <f>'26'!G17</f>
        <v>0</v>
      </c>
      <c r="AL17" s="21">
        <f>'27'!G17</f>
        <v>0</v>
      </c>
      <c r="AM17" s="21">
        <f>'28'!G17</f>
        <v>0</v>
      </c>
      <c r="AN17" s="21">
        <f>'29'!G17</f>
        <v>0</v>
      </c>
      <c r="AO17" s="18">
        <f>'30'!G17</f>
        <v>0</v>
      </c>
    </row>
    <row r="18" spans="2:41" ht="20.100000000000001" customHeight="1" x14ac:dyDescent="0.2">
      <c r="B18" s="16">
        <v>20312059</v>
      </c>
      <c r="C18" s="53" t="s">
        <v>39</v>
      </c>
      <c r="D18" s="88">
        <v>7000</v>
      </c>
      <c r="E18" s="18">
        <f t="shared" si="0"/>
        <v>0</v>
      </c>
      <c r="F18" s="48">
        <f>'POSTING,TR,COMP'!F18</f>
        <v>0</v>
      </c>
      <c r="G18" s="21">
        <f>'POSTING,TR,COMP'!F39</f>
        <v>0</v>
      </c>
      <c r="H18" s="18">
        <f>'POSTING,TR,COMP'!F60</f>
        <v>0</v>
      </c>
      <c r="I18" s="31">
        <f t="shared" si="1"/>
        <v>0</v>
      </c>
      <c r="J18" s="19">
        <f t="shared" si="2"/>
        <v>0</v>
      </c>
      <c r="K18" s="48">
        <f>'Mar 31'!G18</f>
        <v>0</v>
      </c>
      <c r="L18" s="20">
        <f>'1'!G18</f>
        <v>0</v>
      </c>
      <c r="M18" s="21">
        <f>'2'!G18</f>
        <v>0</v>
      </c>
      <c r="N18" s="21">
        <f>'3'!G18</f>
        <v>0</v>
      </c>
      <c r="O18" s="21">
        <f>'4'!G18</f>
        <v>0</v>
      </c>
      <c r="P18" s="21">
        <f>'5'!G18</f>
        <v>0</v>
      </c>
      <c r="Q18" s="21">
        <f>'6'!G18</f>
        <v>0</v>
      </c>
      <c r="R18" s="21">
        <f>'7'!G18</f>
        <v>0</v>
      </c>
      <c r="S18" s="21">
        <f>'8'!G18</f>
        <v>0</v>
      </c>
      <c r="T18" s="21">
        <f>'9'!G18</f>
        <v>0</v>
      </c>
      <c r="U18" s="21">
        <f>'10'!G18</f>
        <v>0</v>
      </c>
      <c r="V18" s="21">
        <f>'11'!G18</f>
        <v>0</v>
      </c>
      <c r="W18" s="21">
        <f>'12'!G18</f>
        <v>0</v>
      </c>
      <c r="X18" s="21">
        <f>'13'!G18</f>
        <v>0</v>
      </c>
      <c r="Y18" s="21">
        <f>'14'!G18</f>
        <v>0</v>
      </c>
      <c r="Z18" s="21">
        <f>'15'!G18</f>
        <v>0</v>
      </c>
      <c r="AA18" s="21">
        <f>'16'!G18</f>
        <v>0</v>
      </c>
      <c r="AB18" s="21">
        <f>'17 (1)'!G18</f>
        <v>0</v>
      </c>
      <c r="AC18" s="21">
        <f>'18'!G18</f>
        <v>0</v>
      </c>
      <c r="AD18" s="21">
        <f>'19'!G18</f>
        <v>0</v>
      </c>
      <c r="AE18" s="21">
        <f>'20'!G18</f>
        <v>0</v>
      </c>
      <c r="AF18" s="21">
        <f>'21'!G18</f>
        <v>0</v>
      </c>
      <c r="AG18" s="21">
        <f>'22'!G18</f>
        <v>0</v>
      </c>
      <c r="AH18" s="21">
        <f>'23'!G18</f>
        <v>0</v>
      </c>
      <c r="AI18" s="21">
        <f>'24'!G18</f>
        <v>0</v>
      </c>
      <c r="AJ18" s="21">
        <f>'25'!G18</f>
        <v>0</v>
      </c>
      <c r="AK18" s="21">
        <f>'26'!G18</f>
        <v>0</v>
      </c>
      <c r="AL18" s="21">
        <f>'27'!G18</f>
        <v>0</v>
      </c>
      <c r="AM18" s="21">
        <f>'28'!G18</f>
        <v>0</v>
      </c>
      <c r="AN18" s="21">
        <f>'29'!G18</f>
        <v>0</v>
      </c>
      <c r="AO18" s="18">
        <f>'30'!G18</f>
        <v>0</v>
      </c>
    </row>
    <row r="19" spans="2:41" ht="20.100000000000001" customHeight="1" x14ac:dyDescent="0.2">
      <c r="B19" s="54">
        <v>20312060</v>
      </c>
      <c r="C19" s="55" t="s">
        <v>40</v>
      </c>
      <c r="D19" s="89">
        <v>7000</v>
      </c>
      <c r="E19" s="50">
        <f t="shared" si="0"/>
        <v>0</v>
      </c>
      <c r="F19" s="49">
        <f>'POSTING,TR,COMP'!F19</f>
        <v>0</v>
      </c>
      <c r="G19" s="59">
        <f>'POSTING,TR,COMP'!F40</f>
        <v>0</v>
      </c>
      <c r="H19" s="50">
        <f>'POSTING,TR,COMP'!F61</f>
        <v>0</v>
      </c>
      <c r="I19" s="57">
        <f t="shared" si="1"/>
        <v>0</v>
      </c>
      <c r="J19" s="19">
        <f t="shared" si="2"/>
        <v>0</v>
      </c>
      <c r="K19" s="49">
        <f>'Mar 31'!G19</f>
        <v>0</v>
      </c>
      <c r="L19" s="58">
        <f>'1'!G19</f>
        <v>0</v>
      </c>
      <c r="M19" s="59">
        <f>'2'!G19</f>
        <v>0</v>
      </c>
      <c r="N19" s="59">
        <f>'3'!G19</f>
        <v>0</v>
      </c>
      <c r="O19" s="59">
        <f>'4'!G19</f>
        <v>0</v>
      </c>
      <c r="P19" s="59">
        <f>'5'!G19</f>
        <v>0</v>
      </c>
      <c r="Q19" s="59">
        <f>'6'!G19</f>
        <v>0</v>
      </c>
      <c r="R19" s="59">
        <f>'7'!G19</f>
        <v>0</v>
      </c>
      <c r="S19" s="59">
        <f>'8'!G19</f>
        <v>0</v>
      </c>
      <c r="T19" s="59">
        <f>'9'!G19</f>
        <v>0</v>
      </c>
      <c r="U19" s="59">
        <f>'10'!G19</f>
        <v>0</v>
      </c>
      <c r="V19" s="59">
        <f>'11'!G19</f>
        <v>0</v>
      </c>
      <c r="W19" s="59">
        <f>'12'!G19</f>
        <v>0</v>
      </c>
      <c r="X19" s="59">
        <f>'13'!G19</f>
        <v>0</v>
      </c>
      <c r="Y19" s="59">
        <f>'14'!G19</f>
        <v>0</v>
      </c>
      <c r="Z19" s="59">
        <f>'15'!G19</f>
        <v>0</v>
      </c>
      <c r="AA19" s="59">
        <f>'16'!G19</f>
        <v>0</v>
      </c>
      <c r="AB19" s="59">
        <f>'17 (1)'!G19</f>
        <v>0</v>
      </c>
      <c r="AC19" s="59">
        <f>'18'!G19</f>
        <v>0</v>
      </c>
      <c r="AD19" s="59">
        <f>'19'!G19</f>
        <v>0</v>
      </c>
      <c r="AE19" s="59">
        <f>'20'!G19</f>
        <v>0</v>
      </c>
      <c r="AF19" s="59">
        <f>'21'!G19</f>
        <v>0</v>
      </c>
      <c r="AG19" s="59">
        <f>'22'!G19</f>
        <v>0</v>
      </c>
      <c r="AH19" s="59">
        <f>'23'!G19</f>
        <v>0</v>
      </c>
      <c r="AI19" s="59">
        <f>'24'!G19</f>
        <v>0</v>
      </c>
      <c r="AJ19" s="59">
        <f>'25'!G19</f>
        <v>0</v>
      </c>
      <c r="AK19" s="59">
        <f>'26'!G19</f>
        <v>0</v>
      </c>
      <c r="AL19" s="59">
        <f>'27'!G19</f>
        <v>0</v>
      </c>
      <c r="AM19" s="59">
        <f>'28'!G19</f>
        <v>0</v>
      </c>
      <c r="AN19" s="59">
        <f>'29'!G19</f>
        <v>0</v>
      </c>
      <c r="AO19" s="50">
        <f>'30'!G19</f>
        <v>0</v>
      </c>
    </row>
    <row r="20" spans="2:41" ht="20.100000000000001" customHeight="1" x14ac:dyDescent="0.2">
      <c r="B20" s="139" t="s">
        <v>8</v>
      </c>
      <c r="C20" s="140"/>
      <c r="D20" s="137">
        <f>SUM(D6:D8,D10:D15)+D9*2</f>
        <v>61500</v>
      </c>
      <c r="E20" s="125">
        <f t="shared" ref="E20:AO20" si="3">SUM(E6:E19)</f>
        <v>6692500</v>
      </c>
      <c r="F20" s="51">
        <f t="shared" si="3"/>
        <v>864</v>
      </c>
      <c r="G20" s="24">
        <f t="shared" si="3"/>
        <v>0</v>
      </c>
      <c r="H20" s="73">
        <f t="shared" si="3"/>
        <v>17</v>
      </c>
      <c r="I20" s="51">
        <f t="shared" si="3"/>
        <v>325</v>
      </c>
      <c r="J20" s="22">
        <f>SUM(J6:J19)</f>
        <v>1189</v>
      </c>
      <c r="K20" s="23">
        <f>SUM(K6:K19)</f>
        <v>30</v>
      </c>
      <c r="L20" s="23">
        <f t="shared" si="3"/>
        <v>30</v>
      </c>
      <c r="M20" s="23">
        <f t="shared" si="3"/>
        <v>40</v>
      </c>
      <c r="N20" s="23">
        <f t="shared" si="3"/>
        <v>42</v>
      </c>
      <c r="O20" s="23">
        <f t="shared" si="3"/>
        <v>50</v>
      </c>
      <c r="P20" s="23">
        <f t="shared" si="3"/>
        <v>29</v>
      </c>
      <c r="Q20" s="23">
        <f t="shared" si="3"/>
        <v>40</v>
      </c>
      <c r="R20" s="23">
        <f t="shared" si="3"/>
        <v>39</v>
      </c>
      <c r="S20" s="23">
        <f t="shared" si="3"/>
        <v>42</v>
      </c>
      <c r="T20" s="23">
        <f t="shared" si="3"/>
        <v>28</v>
      </c>
      <c r="U20" s="23">
        <f t="shared" si="3"/>
        <v>52</v>
      </c>
      <c r="V20" s="23">
        <f t="shared" si="3"/>
        <v>37</v>
      </c>
      <c r="W20" s="23">
        <f t="shared" si="3"/>
        <v>22</v>
      </c>
      <c r="X20" s="23">
        <f t="shared" si="3"/>
        <v>35</v>
      </c>
      <c r="Y20" s="23">
        <f t="shared" si="3"/>
        <v>39</v>
      </c>
      <c r="Z20" s="23">
        <f t="shared" si="3"/>
        <v>65</v>
      </c>
      <c r="AA20" s="23">
        <f t="shared" si="3"/>
        <v>65</v>
      </c>
      <c r="AB20" s="24">
        <f t="shared" si="3"/>
        <v>79</v>
      </c>
      <c r="AC20" s="23">
        <f t="shared" si="3"/>
        <v>38</v>
      </c>
      <c r="AD20" s="23">
        <f t="shared" si="3"/>
        <v>38</v>
      </c>
      <c r="AE20" s="23">
        <f t="shared" si="3"/>
        <v>27</v>
      </c>
      <c r="AF20" s="23">
        <f t="shared" si="3"/>
        <v>31</v>
      </c>
      <c r="AG20" s="23">
        <f t="shared" si="3"/>
        <v>44</v>
      </c>
      <c r="AH20" s="23">
        <f t="shared" si="3"/>
        <v>52</v>
      </c>
      <c r="AI20" s="23">
        <f t="shared" si="3"/>
        <v>51</v>
      </c>
      <c r="AJ20" s="23">
        <f t="shared" si="3"/>
        <v>57</v>
      </c>
      <c r="AK20" s="23">
        <f t="shared" si="3"/>
        <v>35</v>
      </c>
      <c r="AL20" s="23">
        <f t="shared" si="3"/>
        <v>20</v>
      </c>
      <c r="AM20" s="23">
        <f t="shared" si="3"/>
        <v>32</v>
      </c>
      <c r="AN20" s="23">
        <f t="shared" si="3"/>
        <v>0</v>
      </c>
      <c r="AO20" s="25">
        <f t="shared" si="3"/>
        <v>0</v>
      </c>
    </row>
    <row r="21" spans="2:41" ht="20.100000000000001" customHeight="1" x14ac:dyDescent="0.2">
      <c r="B21" s="141"/>
      <c r="C21" s="142"/>
      <c r="D21" s="138"/>
      <c r="E21" s="126"/>
      <c r="F21" s="46">
        <f t="shared" ref="F21:L21" si="4">$D6*F6+$D7*F7+$D8*F8+$D9*F9+$D10*F10+$D11*F11+$D12*F12+$D13*F13+$D14*F14+$D15*F15+$D16*F16+$D17*F17+$D18*F18+$D19*F19</f>
        <v>4861000</v>
      </c>
      <c r="G21" s="28">
        <f t="shared" si="4"/>
        <v>0</v>
      </c>
      <c r="H21" s="74">
        <f t="shared" si="4"/>
        <v>93500</v>
      </c>
      <c r="I21" s="46">
        <f t="shared" si="4"/>
        <v>1831500</v>
      </c>
      <c r="J21" s="26">
        <f>$D6*J6+$D7*J7+$D8*J8+$D9*J9+$D10*J10+$D11*J11+$D12*J12+$D13*J13+$D14*J14+$D15*J15+$D16*J16+$D17*J17+$D18*J18+$D19*J19</f>
        <v>6692500</v>
      </c>
      <c r="K21" s="27">
        <f>$D6*K6+$D7*K7+$D8*K8+$D9*K9+$D10*K10+$D11*K11+$D12*K12+$D13*K13+$D14*K14+$D15*K15+$D16*K16+$D17*K17+$D18*K18+$D19*K19</f>
        <v>172500</v>
      </c>
      <c r="L21" s="27">
        <f t="shared" si="4"/>
        <v>170500</v>
      </c>
      <c r="M21" s="28">
        <f t="shared" ref="M21:AO21" si="5">$D6*M6+$D7*M7+$D8*M8+$D9*M9+$D10*M10+$D11*M11+$D12*M12+$D13*M13+$D14*M14+$D15*M15+$D16*M16+$D17*M17+$D18*M18+$D19*M19</f>
        <v>239500</v>
      </c>
      <c r="N21" s="28">
        <f t="shared" si="5"/>
        <v>230000</v>
      </c>
      <c r="O21" s="28">
        <f t="shared" si="5"/>
        <v>277500</v>
      </c>
      <c r="P21" s="28">
        <f t="shared" si="5"/>
        <v>158500</v>
      </c>
      <c r="Q21" s="28">
        <f t="shared" si="5"/>
        <v>217000</v>
      </c>
      <c r="R21" s="28">
        <f t="shared" si="5"/>
        <v>230000</v>
      </c>
      <c r="S21" s="28">
        <f t="shared" si="5"/>
        <v>228500</v>
      </c>
      <c r="T21" s="28">
        <f t="shared" si="5"/>
        <v>159500</v>
      </c>
      <c r="U21" s="28">
        <f t="shared" si="5"/>
        <v>310500</v>
      </c>
      <c r="V21" s="28">
        <f t="shared" si="5"/>
        <v>196000</v>
      </c>
      <c r="W21" s="28">
        <f t="shared" si="5"/>
        <v>126500</v>
      </c>
      <c r="X21" s="28">
        <f t="shared" si="5"/>
        <v>198000</v>
      </c>
      <c r="Y21" s="28">
        <f t="shared" si="5"/>
        <v>224000</v>
      </c>
      <c r="Z21" s="28">
        <f t="shared" si="5"/>
        <v>362000</v>
      </c>
      <c r="AA21" s="28">
        <f t="shared" si="5"/>
        <v>373000</v>
      </c>
      <c r="AB21" s="28">
        <f t="shared" si="5"/>
        <v>446000</v>
      </c>
      <c r="AC21" s="28">
        <f t="shared" si="5"/>
        <v>202000</v>
      </c>
      <c r="AD21" s="28">
        <f t="shared" si="5"/>
        <v>213500</v>
      </c>
      <c r="AE21" s="28">
        <f t="shared" si="5"/>
        <v>150000</v>
      </c>
      <c r="AF21" s="28">
        <f t="shared" si="5"/>
        <v>175000</v>
      </c>
      <c r="AG21" s="28">
        <f t="shared" si="5"/>
        <v>246500</v>
      </c>
      <c r="AH21" s="28">
        <f t="shared" si="5"/>
        <v>292000</v>
      </c>
      <c r="AI21" s="28">
        <f t="shared" si="5"/>
        <v>281500</v>
      </c>
      <c r="AJ21" s="28">
        <f t="shared" si="5"/>
        <v>318000</v>
      </c>
      <c r="AK21" s="28">
        <f t="shared" si="5"/>
        <v>204000</v>
      </c>
      <c r="AL21" s="28">
        <f t="shared" si="5"/>
        <v>105000</v>
      </c>
      <c r="AM21" s="28">
        <f t="shared" si="5"/>
        <v>185500</v>
      </c>
      <c r="AN21" s="28">
        <f t="shared" si="5"/>
        <v>0</v>
      </c>
      <c r="AO21" s="29">
        <f t="shared" si="5"/>
        <v>0</v>
      </c>
    </row>
    <row r="22" spans="2:41" s="86" customFormat="1" ht="20.100000000000001" customHeight="1" x14ac:dyDescent="0.2">
      <c r="B22" s="84"/>
      <c r="C22" s="85"/>
      <c r="F22" s="119" t="s">
        <v>51</v>
      </c>
      <c r="G22" s="119"/>
      <c r="H22" s="119"/>
      <c r="I22" s="90">
        <f>F21/J21</f>
        <v>0.72633545013074341</v>
      </c>
      <c r="J22" s="80" t="s">
        <v>49</v>
      </c>
      <c r="K22" s="81">
        <f>'POSTING,TR,COMP'!G21</f>
        <v>130500</v>
      </c>
      <c r="L22" s="81">
        <f>'POSTING,TR,COMP'!H21</f>
        <v>241000</v>
      </c>
      <c r="M22" s="81">
        <f>'POSTING,TR,COMP'!I21</f>
        <v>197500</v>
      </c>
      <c r="N22" s="81">
        <f>'POSTING,TR,COMP'!J21</f>
        <v>159000</v>
      </c>
      <c r="O22" s="81">
        <f>'POSTING,TR,COMP'!K21</f>
        <v>218500</v>
      </c>
      <c r="P22" s="81">
        <f>'POSTING,TR,COMP'!L21</f>
        <v>148000</v>
      </c>
      <c r="Q22" s="81">
        <f>'POSTING,TR,COMP'!M21</f>
        <v>127500</v>
      </c>
      <c r="R22" s="81">
        <f>'POSTING,TR,COMP'!N21</f>
        <v>192500</v>
      </c>
      <c r="S22" s="81">
        <f>'POSTING,TR,COMP'!O21</f>
        <v>153500</v>
      </c>
      <c r="T22" s="81">
        <f>'POSTING,TR,COMP'!P21</f>
        <v>135500</v>
      </c>
      <c r="U22" s="81">
        <f>'POSTING,TR,COMP'!Q21</f>
        <v>113500</v>
      </c>
      <c r="V22" s="81">
        <f>'POSTING,TR,COMP'!R21</f>
        <v>204000</v>
      </c>
      <c r="W22" s="81">
        <f>'POSTING,TR,COMP'!S21</f>
        <v>52500</v>
      </c>
      <c r="X22" s="81">
        <f>'POSTING,TR,COMP'!T21</f>
        <v>159500</v>
      </c>
      <c r="Y22" s="81">
        <f>'POSTING,TR,COMP'!U21</f>
        <v>194000</v>
      </c>
      <c r="Z22" s="81">
        <f>'POSTING,TR,COMP'!V21</f>
        <v>305000</v>
      </c>
      <c r="AA22" s="81">
        <f>'POSTING,TR,COMP'!W21</f>
        <v>304000</v>
      </c>
      <c r="AB22" s="81">
        <f>'POSTING,TR,COMP'!X21</f>
        <v>185000</v>
      </c>
      <c r="AC22" s="81">
        <f>'POSTING,TR,COMP'!Y21</f>
        <v>154500</v>
      </c>
      <c r="AD22" s="81">
        <f>'POSTING,TR,COMP'!Z21</f>
        <v>109000</v>
      </c>
      <c r="AE22" s="81">
        <f>'POSTING,TR,COMP'!AA21</f>
        <v>146000</v>
      </c>
      <c r="AF22" s="81">
        <f>'POSTING,TR,COMP'!AB21</f>
        <v>159500</v>
      </c>
      <c r="AG22" s="81">
        <f>'POSTING,TR,COMP'!AC21</f>
        <v>148500</v>
      </c>
      <c r="AH22" s="81">
        <f>'POSTING,TR,COMP'!AD21</f>
        <v>264500</v>
      </c>
      <c r="AI22" s="81">
        <f>'POSTING,TR,COMP'!AE21</f>
        <v>193500</v>
      </c>
      <c r="AJ22" s="81">
        <f>'POSTING,TR,COMP'!AF21</f>
        <v>222000</v>
      </c>
      <c r="AK22" s="81">
        <f>'POSTING,TR,COMP'!AG21</f>
        <v>185000</v>
      </c>
      <c r="AL22" s="81">
        <f>'POSTING,TR,COMP'!AH21</f>
        <v>57500</v>
      </c>
      <c r="AM22" s="81">
        <f>'POSTING,TR,COMP'!AI21</f>
        <v>0</v>
      </c>
      <c r="AN22" s="81">
        <f>'POSTING,TR,COMP'!AJ21</f>
        <v>0</v>
      </c>
      <c r="AO22" s="81">
        <f>'POSTING,TR,COMP'!AK21</f>
        <v>0</v>
      </c>
    </row>
    <row r="23" spans="2:41" s="86" customFormat="1" ht="20.100000000000001" customHeight="1" x14ac:dyDescent="0.2">
      <c r="B23" s="84"/>
      <c r="C23" s="85"/>
      <c r="G23" s="84"/>
      <c r="H23" s="84"/>
      <c r="I23" s="84"/>
      <c r="J23" s="82" t="s">
        <v>50</v>
      </c>
      <c r="K23" s="83">
        <f>K22/K21</f>
        <v>0.75652173913043474</v>
      </c>
      <c r="L23" s="83">
        <f>L22/L21</f>
        <v>1.4134897360703813</v>
      </c>
      <c r="M23" s="83">
        <f>M22/M21</f>
        <v>0.82463465553235904</v>
      </c>
      <c r="N23" s="83">
        <f>N22/N21</f>
        <v>0.69130434782608696</v>
      </c>
      <c r="O23" s="83">
        <f t="shared" ref="O23:AO23" si="6">O22/O21</f>
        <v>0.78738738738738734</v>
      </c>
      <c r="P23" s="83">
        <f t="shared" si="6"/>
        <v>0.93375394321766558</v>
      </c>
      <c r="Q23" s="83">
        <f t="shared" si="6"/>
        <v>0.5875576036866359</v>
      </c>
      <c r="R23" s="83">
        <f t="shared" si="6"/>
        <v>0.83695652173913049</v>
      </c>
      <c r="S23" s="83">
        <f t="shared" si="6"/>
        <v>0.67177242888402622</v>
      </c>
      <c r="T23" s="83">
        <f t="shared" si="6"/>
        <v>0.84952978056426331</v>
      </c>
      <c r="U23" s="83">
        <f t="shared" si="6"/>
        <v>0.36553945249597425</v>
      </c>
      <c r="V23" s="83">
        <f t="shared" si="6"/>
        <v>1.0408163265306123</v>
      </c>
      <c r="W23" s="83">
        <f t="shared" si="6"/>
        <v>0.41501976284584979</v>
      </c>
      <c r="X23" s="83">
        <f t="shared" si="6"/>
        <v>0.80555555555555558</v>
      </c>
      <c r="Y23" s="83">
        <f t="shared" si="6"/>
        <v>0.8660714285714286</v>
      </c>
      <c r="Z23" s="83">
        <f t="shared" si="6"/>
        <v>0.84254143646408841</v>
      </c>
      <c r="AA23" s="83">
        <f t="shared" si="6"/>
        <v>0.81501340482573725</v>
      </c>
      <c r="AB23" s="83">
        <f t="shared" si="6"/>
        <v>0.41479820627802688</v>
      </c>
      <c r="AC23" s="83">
        <f t="shared" si="6"/>
        <v>0.76485148514851486</v>
      </c>
      <c r="AD23" s="83">
        <f t="shared" si="6"/>
        <v>0.51053864168618268</v>
      </c>
      <c r="AE23" s="83">
        <f t="shared" si="6"/>
        <v>0.97333333333333338</v>
      </c>
      <c r="AF23" s="83">
        <f t="shared" si="6"/>
        <v>0.91142857142857148</v>
      </c>
      <c r="AG23" s="83">
        <f t="shared" si="6"/>
        <v>0.60243407707910746</v>
      </c>
      <c r="AH23" s="83">
        <f t="shared" si="6"/>
        <v>0.90582191780821919</v>
      </c>
      <c r="AI23" s="83">
        <f t="shared" si="6"/>
        <v>0.68738898756660749</v>
      </c>
      <c r="AJ23" s="83">
        <f t="shared" si="6"/>
        <v>0.69811320754716977</v>
      </c>
      <c r="AK23" s="83">
        <f t="shared" si="6"/>
        <v>0.90686274509803921</v>
      </c>
      <c r="AL23" s="83">
        <f t="shared" si="6"/>
        <v>0.54761904761904767</v>
      </c>
      <c r="AM23" s="83">
        <f t="shared" si="6"/>
        <v>0</v>
      </c>
      <c r="AN23" s="83" t="e">
        <f t="shared" si="6"/>
        <v>#DIV/0!</v>
      </c>
      <c r="AO23" s="83" t="e">
        <f t="shared" si="6"/>
        <v>#DIV/0!</v>
      </c>
    </row>
  </sheetData>
  <sheetProtection algorithmName="SHA-512" hashValue="5agCh5FgGbs701R60I/pbglBvUhG6HAYvXrNTM6DAZQGM/3OcyXBEHmwcKJk6e3VdjOnv7s0f1rn0cDnSwdEwQ==" saltValue="A3BpRLQll939hOYSRMEvQQ==" spinCount="100000" sheet="1" objects="1" scenarios="1"/>
  <mergeCells count="12">
    <mergeCell ref="F22:H22"/>
    <mergeCell ref="L4:AO4"/>
    <mergeCell ref="B2:J2"/>
    <mergeCell ref="F4:I4"/>
    <mergeCell ref="E20:E21"/>
    <mergeCell ref="J4:J5"/>
    <mergeCell ref="E4:E5"/>
    <mergeCell ref="B4:B5"/>
    <mergeCell ref="C4:C5"/>
    <mergeCell ref="D4:D5"/>
    <mergeCell ref="D20:D21"/>
    <mergeCell ref="B20:C21"/>
  </mergeCells>
  <phoneticPr fontId="2" type="noConversion"/>
  <pageMargins left="0.7" right="0.7" top="0.75" bottom="0.75" header="0.3" footer="0.3"/>
  <pageSetup paperSize="9" scale="37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pageSetUpPr fitToPage="1"/>
  </sheetPr>
  <dimension ref="B1:AL84"/>
  <sheetViews>
    <sheetView showGridLines="0" zoomScale="85" zoomScaleNormal="85" workbookViewId="0">
      <pane xSplit="6" ySplit="5" topLeftCell="T6" activePane="bottomRight" state="frozen"/>
      <selection pane="topRight" activeCell="H1" sqref="H1"/>
      <selection pane="bottomLeft" activeCell="A6" sqref="A6"/>
      <selection pane="bottomRight" activeCell="AE13" sqref="AE13"/>
    </sheetView>
  </sheetViews>
  <sheetFormatPr defaultColWidth="9.125" defaultRowHeight="14.25" x14ac:dyDescent="0.2"/>
  <cols>
    <col min="1" max="1" width="0.375" style="1" customWidth="1"/>
    <col min="2" max="2" width="12.375" style="2" bestFit="1" customWidth="1"/>
    <col min="3" max="3" width="18.375" style="5" bestFit="1" customWidth="1"/>
    <col min="4" max="5" width="10.625" style="1" customWidth="1"/>
    <col min="6" max="6" width="10.625" style="3" customWidth="1"/>
    <col min="7" max="38" width="10.625" style="4" customWidth="1"/>
    <col min="39" max="16384" width="9.125" style="1"/>
  </cols>
  <sheetData>
    <row r="1" spans="2:38" ht="3.75" customHeight="1" x14ac:dyDescent="0.2"/>
    <row r="2" spans="2:38" ht="20.100000000000001" customHeight="1" x14ac:dyDescent="0.2">
      <c r="B2" s="122" t="s">
        <v>10</v>
      </c>
      <c r="C2" s="122"/>
      <c r="D2" s="122"/>
      <c r="E2" s="122"/>
      <c r="F2" s="122"/>
    </row>
    <row r="3" spans="2:38" ht="4.9000000000000004" customHeight="1" x14ac:dyDescent="0.2"/>
    <row r="4" spans="2:38" ht="20.100000000000001" customHeight="1" x14ac:dyDescent="0.2">
      <c r="B4" s="131" t="s">
        <v>2</v>
      </c>
      <c r="C4" s="133" t="s">
        <v>3</v>
      </c>
      <c r="D4" s="135" t="s">
        <v>4</v>
      </c>
      <c r="E4" s="129" t="s">
        <v>5</v>
      </c>
      <c r="F4" s="127" t="s">
        <v>9</v>
      </c>
      <c r="G4" s="91"/>
      <c r="H4" s="120" t="s">
        <v>7</v>
      </c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  <c r="AA4" s="120"/>
      <c r="AB4" s="120"/>
      <c r="AC4" s="120"/>
      <c r="AD4" s="120"/>
      <c r="AE4" s="120"/>
      <c r="AF4" s="120"/>
      <c r="AG4" s="120"/>
      <c r="AH4" s="120"/>
      <c r="AI4" s="120"/>
      <c r="AJ4" s="120"/>
      <c r="AK4" s="120"/>
      <c r="AL4" s="121"/>
    </row>
    <row r="5" spans="2:38" ht="20.100000000000001" customHeight="1" x14ac:dyDescent="0.2">
      <c r="B5" s="132"/>
      <c r="C5" s="134"/>
      <c r="D5" s="136"/>
      <c r="E5" s="130"/>
      <c r="F5" s="128"/>
      <c r="G5" s="92">
        <v>31</v>
      </c>
      <c r="H5" s="6">
        <v>1</v>
      </c>
      <c r="I5" s="7">
        <v>2</v>
      </c>
      <c r="J5" s="7">
        <v>3</v>
      </c>
      <c r="K5" s="7">
        <v>4</v>
      </c>
      <c r="L5" s="7">
        <v>5</v>
      </c>
      <c r="M5" s="7">
        <v>6</v>
      </c>
      <c r="N5" s="7">
        <v>7</v>
      </c>
      <c r="O5" s="7">
        <v>8</v>
      </c>
      <c r="P5" s="7">
        <v>9</v>
      </c>
      <c r="Q5" s="7">
        <v>10</v>
      </c>
      <c r="R5" s="7">
        <v>11</v>
      </c>
      <c r="S5" s="7">
        <v>12</v>
      </c>
      <c r="T5" s="7">
        <v>13</v>
      </c>
      <c r="U5" s="7">
        <v>14</v>
      </c>
      <c r="V5" s="7">
        <v>15</v>
      </c>
      <c r="W5" s="7">
        <v>16</v>
      </c>
      <c r="X5" s="7">
        <v>17</v>
      </c>
      <c r="Y5" s="7">
        <v>18</v>
      </c>
      <c r="Z5" s="7">
        <v>19</v>
      </c>
      <c r="AA5" s="7">
        <v>20</v>
      </c>
      <c r="AB5" s="7">
        <v>21</v>
      </c>
      <c r="AC5" s="7">
        <v>22</v>
      </c>
      <c r="AD5" s="7">
        <v>23</v>
      </c>
      <c r="AE5" s="7">
        <v>24</v>
      </c>
      <c r="AF5" s="7">
        <v>25</v>
      </c>
      <c r="AG5" s="7">
        <v>26</v>
      </c>
      <c r="AH5" s="7">
        <v>27</v>
      </c>
      <c r="AI5" s="7">
        <v>28</v>
      </c>
      <c r="AJ5" s="7">
        <v>29</v>
      </c>
      <c r="AK5" s="8">
        <v>30</v>
      </c>
      <c r="AL5" s="9">
        <v>31</v>
      </c>
    </row>
    <row r="6" spans="2:38" ht="20.100000000000001" customHeight="1" x14ac:dyDescent="0.2">
      <c r="B6" s="10">
        <v>10553408</v>
      </c>
      <c r="C6" s="52" t="s">
        <v>27</v>
      </c>
      <c r="D6" s="11">
        <v>6000</v>
      </c>
      <c r="E6" s="12">
        <f t="shared" ref="E6:E11" si="0">D6*F6</f>
        <v>780000</v>
      </c>
      <c r="F6" s="13">
        <f t="shared" ref="F6:F19" si="1">SUM(G6:AL6)</f>
        <v>130</v>
      </c>
      <c r="G6" s="39">
        <v>3</v>
      </c>
      <c r="H6" s="66">
        <v>5</v>
      </c>
      <c r="I6" s="67">
        <v>5</v>
      </c>
      <c r="J6" s="67">
        <v>7</v>
      </c>
      <c r="K6" s="67">
        <v>5</v>
      </c>
      <c r="L6" s="67">
        <v>4</v>
      </c>
      <c r="M6" s="67">
        <v>3</v>
      </c>
      <c r="N6" s="67">
        <v>2</v>
      </c>
      <c r="O6" s="67">
        <v>5</v>
      </c>
      <c r="P6" s="67">
        <v>3</v>
      </c>
      <c r="Q6" s="67">
        <v>3</v>
      </c>
      <c r="R6" s="67">
        <v>4</v>
      </c>
      <c r="S6" s="67"/>
      <c r="T6" s="67">
        <v>4</v>
      </c>
      <c r="U6" s="67">
        <v>5</v>
      </c>
      <c r="V6" s="67">
        <v>8</v>
      </c>
      <c r="W6" s="67">
        <v>9</v>
      </c>
      <c r="X6" s="67">
        <v>7</v>
      </c>
      <c r="Y6" s="67">
        <v>6</v>
      </c>
      <c r="Z6" s="67">
        <v>2</v>
      </c>
      <c r="AA6" s="67">
        <v>5</v>
      </c>
      <c r="AB6" s="67">
        <v>4</v>
      </c>
      <c r="AC6" s="67">
        <v>4</v>
      </c>
      <c r="AD6" s="67">
        <v>8</v>
      </c>
      <c r="AE6" s="67">
        <v>3</v>
      </c>
      <c r="AF6" s="67">
        <v>7</v>
      </c>
      <c r="AG6" s="67">
        <v>8</v>
      </c>
      <c r="AH6" s="67">
        <v>1</v>
      </c>
      <c r="AI6" s="67"/>
      <c r="AJ6" s="67"/>
      <c r="AK6" s="67"/>
      <c r="AL6" s="68"/>
    </row>
    <row r="7" spans="2:38" ht="20.100000000000001" customHeight="1" x14ac:dyDescent="0.2">
      <c r="B7" s="16">
        <v>10553612</v>
      </c>
      <c r="C7" s="53" t="s">
        <v>28</v>
      </c>
      <c r="D7" s="17">
        <v>6500</v>
      </c>
      <c r="E7" s="18">
        <f t="shared" si="0"/>
        <v>617500</v>
      </c>
      <c r="F7" s="19">
        <f t="shared" si="1"/>
        <v>95</v>
      </c>
      <c r="G7" s="42">
        <v>3</v>
      </c>
      <c r="H7" s="69">
        <v>7</v>
      </c>
      <c r="I7" s="43">
        <v>2</v>
      </c>
      <c r="J7" s="43">
        <v>3</v>
      </c>
      <c r="K7" s="43">
        <v>5</v>
      </c>
      <c r="L7" s="43">
        <v>1</v>
      </c>
      <c r="M7" s="43"/>
      <c r="N7" s="43">
        <v>4</v>
      </c>
      <c r="O7" s="43">
        <v>2</v>
      </c>
      <c r="P7" s="43">
        <v>5</v>
      </c>
      <c r="Q7" s="43">
        <v>3</v>
      </c>
      <c r="R7" s="43">
        <v>1</v>
      </c>
      <c r="S7" s="43">
        <v>3</v>
      </c>
      <c r="T7" s="43">
        <v>4</v>
      </c>
      <c r="U7" s="43">
        <v>2</v>
      </c>
      <c r="V7" s="43">
        <v>6</v>
      </c>
      <c r="W7" s="43">
        <v>6</v>
      </c>
      <c r="X7" s="43">
        <v>4</v>
      </c>
      <c r="Y7" s="43">
        <v>2</v>
      </c>
      <c r="Z7" s="43">
        <v>1</v>
      </c>
      <c r="AA7" s="43">
        <v>2</v>
      </c>
      <c r="AB7" s="43">
        <v>4</v>
      </c>
      <c r="AC7" s="43">
        <v>3</v>
      </c>
      <c r="AD7" s="43">
        <v>8</v>
      </c>
      <c r="AE7" s="43">
        <v>2</v>
      </c>
      <c r="AF7" s="43">
        <v>3</v>
      </c>
      <c r="AG7" s="43">
        <v>8</v>
      </c>
      <c r="AH7" s="43">
        <v>1</v>
      </c>
      <c r="AI7" s="43"/>
      <c r="AJ7" s="43"/>
      <c r="AK7" s="43"/>
      <c r="AL7" s="44"/>
    </row>
    <row r="8" spans="2:38" ht="20.100000000000001" customHeight="1" x14ac:dyDescent="0.2">
      <c r="B8" s="16">
        <v>10553613</v>
      </c>
      <c r="C8" s="53" t="s">
        <v>29</v>
      </c>
      <c r="D8" s="17">
        <v>7000</v>
      </c>
      <c r="E8" s="18">
        <f t="shared" si="0"/>
        <v>273000</v>
      </c>
      <c r="F8" s="19">
        <f t="shared" si="1"/>
        <v>39</v>
      </c>
      <c r="G8" s="42">
        <v>1</v>
      </c>
      <c r="H8" s="69">
        <v>2</v>
      </c>
      <c r="I8" s="43">
        <v>4</v>
      </c>
      <c r="J8" s="43">
        <v>2</v>
      </c>
      <c r="K8" s="43">
        <v>2</v>
      </c>
      <c r="L8" s="43">
        <v>1</v>
      </c>
      <c r="M8" s="43"/>
      <c r="N8" s="43">
        <v>4</v>
      </c>
      <c r="O8" s="43"/>
      <c r="P8" s="43">
        <v>1</v>
      </c>
      <c r="Q8" s="43">
        <v>1</v>
      </c>
      <c r="R8" s="43">
        <v>1</v>
      </c>
      <c r="S8" s="43">
        <v>2</v>
      </c>
      <c r="T8" s="43"/>
      <c r="U8" s="43">
        <v>2</v>
      </c>
      <c r="V8" s="43">
        <v>1</v>
      </c>
      <c r="W8" s="43">
        <v>6</v>
      </c>
      <c r="X8" s="43">
        <v>1</v>
      </c>
      <c r="Y8" s="43"/>
      <c r="Z8" s="43"/>
      <c r="AA8" s="43"/>
      <c r="AB8" s="43">
        <v>1</v>
      </c>
      <c r="AC8" s="43">
        <v>3</v>
      </c>
      <c r="AD8" s="43">
        <v>2</v>
      </c>
      <c r="AE8" s="43">
        <v>2</v>
      </c>
      <c r="AF8" s="43"/>
      <c r="AG8" s="43"/>
      <c r="AH8" s="43"/>
      <c r="AI8" s="43"/>
      <c r="AJ8" s="43"/>
      <c r="AK8" s="43"/>
      <c r="AL8" s="44"/>
    </row>
    <row r="9" spans="2:38" ht="20.100000000000001" customHeight="1" x14ac:dyDescent="0.2">
      <c r="B9" s="16">
        <v>12412003</v>
      </c>
      <c r="C9" s="53" t="s">
        <v>30</v>
      </c>
      <c r="D9" s="17">
        <v>5500</v>
      </c>
      <c r="E9" s="18">
        <f t="shared" si="0"/>
        <v>1820500</v>
      </c>
      <c r="F9" s="19">
        <f t="shared" si="1"/>
        <v>331</v>
      </c>
      <c r="G9" s="42">
        <v>12</v>
      </c>
      <c r="H9" s="69">
        <v>15</v>
      </c>
      <c r="I9" s="43">
        <v>9</v>
      </c>
      <c r="J9" s="43">
        <v>9</v>
      </c>
      <c r="K9" s="43">
        <v>18</v>
      </c>
      <c r="L9" s="43">
        <v>13</v>
      </c>
      <c r="M9" s="43">
        <v>15</v>
      </c>
      <c r="N9" s="43">
        <v>13</v>
      </c>
      <c r="O9" s="43">
        <v>13</v>
      </c>
      <c r="P9" s="43">
        <v>10</v>
      </c>
      <c r="Q9" s="43">
        <v>6</v>
      </c>
      <c r="R9" s="43">
        <v>13</v>
      </c>
      <c r="S9" s="43">
        <v>2</v>
      </c>
      <c r="T9" s="43">
        <v>15</v>
      </c>
      <c r="U9" s="43">
        <v>8</v>
      </c>
      <c r="V9" s="43">
        <v>20</v>
      </c>
      <c r="W9" s="43">
        <v>22</v>
      </c>
      <c r="X9" s="43">
        <v>8</v>
      </c>
      <c r="Y9" s="43">
        <v>13</v>
      </c>
      <c r="Z9" s="43">
        <v>7</v>
      </c>
      <c r="AA9" s="43">
        <v>6</v>
      </c>
      <c r="AB9" s="43">
        <v>11</v>
      </c>
      <c r="AC9" s="43">
        <v>12</v>
      </c>
      <c r="AD9" s="43">
        <v>17</v>
      </c>
      <c r="AE9" s="43">
        <v>13</v>
      </c>
      <c r="AF9" s="43">
        <v>19</v>
      </c>
      <c r="AG9" s="43">
        <v>6</v>
      </c>
      <c r="AH9" s="43">
        <v>6</v>
      </c>
      <c r="AI9" s="43"/>
      <c r="AJ9" s="43"/>
      <c r="AK9" s="43"/>
      <c r="AL9" s="44"/>
    </row>
    <row r="10" spans="2:38" ht="20.100000000000001" customHeight="1" x14ac:dyDescent="0.2">
      <c r="B10" s="16">
        <v>12412022</v>
      </c>
      <c r="C10" s="53" t="s">
        <v>31</v>
      </c>
      <c r="D10" s="17">
        <v>4000</v>
      </c>
      <c r="E10" s="18">
        <f t="shared" si="0"/>
        <v>188000</v>
      </c>
      <c r="F10" s="19">
        <f t="shared" si="1"/>
        <v>47</v>
      </c>
      <c r="G10" s="42"/>
      <c r="H10" s="69">
        <v>2</v>
      </c>
      <c r="I10" s="43">
        <v>1</v>
      </c>
      <c r="J10" s="43"/>
      <c r="K10" s="43">
        <v>1</v>
      </c>
      <c r="L10" s="43"/>
      <c r="M10" s="43">
        <v>1</v>
      </c>
      <c r="N10" s="43">
        <v>4</v>
      </c>
      <c r="O10" s="43">
        <v>1</v>
      </c>
      <c r="P10" s="43">
        <v>2</v>
      </c>
      <c r="Q10" s="43">
        <v>1</v>
      </c>
      <c r="R10" s="43">
        <v>2</v>
      </c>
      <c r="S10" s="43">
        <v>1</v>
      </c>
      <c r="T10" s="43">
        <v>1</v>
      </c>
      <c r="U10" s="43">
        <v>2</v>
      </c>
      <c r="V10" s="43">
        <v>2</v>
      </c>
      <c r="W10" s="43">
        <v>2</v>
      </c>
      <c r="X10" s="43">
        <v>6</v>
      </c>
      <c r="Y10" s="43">
        <v>3</v>
      </c>
      <c r="Z10" s="43">
        <v>3</v>
      </c>
      <c r="AA10" s="43">
        <v>1</v>
      </c>
      <c r="AB10" s="43">
        <v>2</v>
      </c>
      <c r="AC10" s="43"/>
      <c r="AD10" s="43">
        <v>2</v>
      </c>
      <c r="AE10" s="43">
        <v>2</v>
      </c>
      <c r="AF10" s="43">
        <v>2</v>
      </c>
      <c r="AG10" s="43">
        <v>3</v>
      </c>
      <c r="AH10" s="43"/>
      <c r="AI10" s="43"/>
      <c r="AJ10" s="43"/>
      <c r="AK10" s="43"/>
      <c r="AL10" s="44"/>
    </row>
    <row r="11" spans="2:38" ht="20.100000000000001" customHeight="1" x14ac:dyDescent="0.2">
      <c r="B11" s="16">
        <v>12412023</v>
      </c>
      <c r="C11" s="53" t="s">
        <v>32</v>
      </c>
      <c r="D11" s="17">
        <v>4000</v>
      </c>
      <c r="E11" s="18">
        <f t="shared" si="0"/>
        <v>292000</v>
      </c>
      <c r="F11" s="19">
        <f t="shared" si="1"/>
        <v>73</v>
      </c>
      <c r="G11" s="42"/>
      <c r="H11" s="69">
        <v>2</v>
      </c>
      <c r="I11" s="43">
        <v>4</v>
      </c>
      <c r="J11" s="43">
        <v>2</v>
      </c>
      <c r="K11" s="43">
        <v>4</v>
      </c>
      <c r="L11" s="43">
        <v>8</v>
      </c>
      <c r="M11" s="43">
        <v>3</v>
      </c>
      <c r="N11" s="43"/>
      <c r="O11" s="43">
        <v>3</v>
      </c>
      <c r="P11" s="43">
        <v>1</v>
      </c>
      <c r="Q11" s="43">
        <v>1</v>
      </c>
      <c r="R11" s="43">
        <v>4</v>
      </c>
      <c r="S11" s="43">
        <v>1</v>
      </c>
      <c r="T11" s="43">
        <v>1</v>
      </c>
      <c r="U11" s="43">
        <v>3</v>
      </c>
      <c r="V11" s="43">
        <v>8</v>
      </c>
      <c r="W11" s="43">
        <v>1</v>
      </c>
      <c r="X11" s="43">
        <v>2</v>
      </c>
      <c r="Y11" s="43">
        <v>2</v>
      </c>
      <c r="Z11" s="43">
        <v>2</v>
      </c>
      <c r="AA11" s="43">
        <v>3</v>
      </c>
      <c r="AB11" s="43">
        <v>4</v>
      </c>
      <c r="AC11" s="43">
        <v>1</v>
      </c>
      <c r="AD11" s="43">
        <v>3</v>
      </c>
      <c r="AE11" s="43">
        <v>2</v>
      </c>
      <c r="AF11" s="43">
        <v>4</v>
      </c>
      <c r="AG11" s="43">
        <v>2</v>
      </c>
      <c r="AH11" s="43">
        <v>2</v>
      </c>
      <c r="AI11" s="43"/>
      <c r="AJ11" s="43"/>
      <c r="AK11" s="43"/>
      <c r="AL11" s="44"/>
    </row>
    <row r="12" spans="2:38" ht="20.100000000000001" customHeight="1" x14ac:dyDescent="0.2">
      <c r="B12" s="16">
        <v>12412026</v>
      </c>
      <c r="C12" s="53" t="s">
        <v>33</v>
      </c>
      <c r="D12" s="17">
        <v>4000</v>
      </c>
      <c r="E12" s="18">
        <f t="shared" ref="E12:E19" si="2">D12*F12</f>
        <v>156000</v>
      </c>
      <c r="F12" s="19">
        <f t="shared" si="1"/>
        <v>39</v>
      </c>
      <c r="G12" s="42">
        <v>2</v>
      </c>
      <c r="H12" s="69">
        <v>2</v>
      </c>
      <c r="I12" s="43">
        <v>2</v>
      </c>
      <c r="J12" s="43"/>
      <c r="K12" s="43">
        <v>1</v>
      </c>
      <c r="L12" s="43"/>
      <c r="M12" s="43">
        <v>1</v>
      </c>
      <c r="N12" s="43">
        <v>1</v>
      </c>
      <c r="O12" s="43">
        <v>1</v>
      </c>
      <c r="P12" s="43">
        <v>1</v>
      </c>
      <c r="Q12" s="43"/>
      <c r="R12" s="43">
        <v>3</v>
      </c>
      <c r="S12" s="43"/>
      <c r="T12" s="43"/>
      <c r="U12" s="43">
        <v>3</v>
      </c>
      <c r="V12" s="43">
        <v>3</v>
      </c>
      <c r="W12" s="43">
        <v>3</v>
      </c>
      <c r="X12" s="43">
        <v>2</v>
      </c>
      <c r="Y12" s="43"/>
      <c r="Z12" s="43">
        <v>1</v>
      </c>
      <c r="AA12" s="43"/>
      <c r="AB12" s="43">
        <v>1</v>
      </c>
      <c r="AC12" s="43"/>
      <c r="AD12" s="43">
        <v>4</v>
      </c>
      <c r="AE12" s="43">
        <v>4</v>
      </c>
      <c r="AF12" s="43">
        <v>2</v>
      </c>
      <c r="AG12" s="43">
        <v>1</v>
      </c>
      <c r="AH12" s="43">
        <v>1</v>
      </c>
      <c r="AI12" s="43"/>
      <c r="AJ12" s="43"/>
      <c r="AK12" s="43"/>
      <c r="AL12" s="44"/>
    </row>
    <row r="13" spans="2:38" ht="20.100000000000001" customHeight="1" x14ac:dyDescent="0.2">
      <c r="B13" s="16">
        <v>12412239</v>
      </c>
      <c r="C13" s="53" t="s">
        <v>34</v>
      </c>
      <c r="D13" s="17">
        <v>5000</v>
      </c>
      <c r="E13" s="18">
        <f t="shared" si="2"/>
        <v>90000</v>
      </c>
      <c r="F13" s="19">
        <f t="shared" si="1"/>
        <v>18</v>
      </c>
      <c r="G13" s="42">
        <v>1</v>
      </c>
      <c r="H13" s="69">
        <v>2</v>
      </c>
      <c r="I13" s="43"/>
      <c r="J13" s="43">
        <v>1</v>
      </c>
      <c r="K13" s="43">
        <v>1</v>
      </c>
      <c r="L13" s="43"/>
      <c r="M13" s="43"/>
      <c r="N13" s="43"/>
      <c r="O13" s="43">
        <v>1</v>
      </c>
      <c r="P13" s="43"/>
      <c r="Q13" s="43"/>
      <c r="R13" s="43">
        <v>2</v>
      </c>
      <c r="S13" s="43"/>
      <c r="T13" s="43">
        <v>1</v>
      </c>
      <c r="U13" s="43">
        <v>1</v>
      </c>
      <c r="V13" s="43"/>
      <c r="W13" s="43">
        <v>2</v>
      </c>
      <c r="X13" s="43">
        <v>1</v>
      </c>
      <c r="Y13" s="43"/>
      <c r="Z13" s="43"/>
      <c r="AA13" s="43">
        <v>1</v>
      </c>
      <c r="AB13" s="43"/>
      <c r="AC13" s="43"/>
      <c r="AD13" s="43"/>
      <c r="AE13" s="43">
        <v>2</v>
      </c>
      <c r="AF13" s="43">
        <v>2</v>
      </c>
      <c r="AG13" s="43"/>
      <c r="AH13" s="43"/>
      <c r="AI13" s="43"/>
      <c r="AJ13" s="43"/>
      <c r="AK13" s="43"/>
      <c r="AL13" s="44"/>
    </row>
    <row r="14" spans="2:38" ht="20.100000000000001" customHeight="1" x14ac:dyDescent="0.2">
      <c r="B14" s="16">
        <v>20312001</v>
      </c>
      <c r="C14" s="53" t="s">
        <v>35</v>
      </c>
      <c r="D14" s="17">
        <v>7000</v>
      </c>
      <c r="E14" s="18">
        <f t="shared" si="2"/>
        <v>315000</v>
      </c>
      <c r="F14" s="19">
        <f t="shared" si="1"/>
        <v>45</v>
      </c>
      <c r="G14" s="42">
        <v>1</v>
      </c>
      <c r="H14" s="69">
        <v>3</v>
      </c>
      <c r="I14" s="43">
        <v>3</v>
      </c>
      <c r="J14" s="43">
        <v>2</v>
      </c>
      <c r="K14" s="43">
        <v>1</v>
      </c>
      <c r="L14" s="43">
        <v>1</v>
      </c>
      <c r="M14" s="43"/>
      <c r="N14" s="43">
        <v>2</v>
      </c>
      <c r="O14" s="43">
        <v>1</v>
      </c>
      <c r="P14" s="43"/>
      <c r="Q14" s="43">
        <v>2</v>
      </c>
      <c r="R14" s="43">
        <v>4</v>
      </c>
      <c r="S14" s="43"/>
      <c r="T14" s="43">
        <v>1</v>
      </c>
      <c r="U14" s="43">
        <v>4</v>
      </c>
      <c r="V14" s="43">
        <v>4</v>
      </c>
      <c r="W14" s="43">
        <v>1</v>
      </c>
      <c r="X14" s="43">
        <v>1</v>
      </c>
      <c r="Y14" s="43">
        <v>1</v>
      </c>
      <c r="Z14" s="43">
        <v>2</v>
      </c>
      <c r="AA14" s="43">
        <v>3</v>
      </c>
      <c r="AB14" s="43">
        <v>1</v>
      </c>
      <c r="AC14" s="43">
        <v>1</v>
      </c>
      <c r="AD14" s="43">
        <v>1</v>
      </c>
      <c r="AE14" s="43">
        <v>2</v>
      </c>
      <c r="AF14" s="43">
        <v>1</v>
      </c>
      <c r="AG14" s="43">
        <v>2</v>
      </c>
      <c r="AH14" s="43"/>
      <c r="AI14" s="43"/>
      <c r="AJ14" s="43"/>
      <c r="AK14" s="43"/>
      <c r="AL14" s="44"/>
    </row>
    <row r="15" spans="2:38" ht="20.100000000000001" customHeight="1" x14ac:dyDescent="0.2">
      <c r="B15" s="16">
        <v>20312002</v>
      </c>
      <c r="C15" s="53" t="s">
        <v>36</v>
      </c>
      <c r="D15" s="17">
        <v>7000</v>
      </c>
      <c r="E15" s="18">
        <f t="shared" si="2"/>
        <v>329000</v>
      </c>
      <c r="F15" s="19">
        <f t="shared" si="1"/>
        <v>47</v>
      </c>
      <c r="G15" s="42"/>
      <c r="H15" s="69">
        <v>2</v>
      </c>
      <c r="I15" s="43">
        <v>4</v>
      </c>
      <c r="J15" s="43">
        <v>1</v>
      </c>
      <c r="K15" s="43">
        <v>1</v>
      </c>
      <c r="L15" s="43"/>
      <c r="M15" s="43">
        <v>1</v>
      </c>
      <c r="N15" s="43">
        <v>3</v>
      </c>
      <c r="O15" s="43">
        <v>1</v>
      </c>
      <c r="P15" s="43">
        <v>1</v>
      </c>
      <c r="Q15" s="43">
        <v>2</v>
      </c>
      <c r="R15" s="43">
        <v>3</v>
      </c>
      <c r="S15" s="43"/>
      <c r="T15" s="43">
        <v>1</v>
      </c>
      <c r="U15" s="43">
        <v>4</v>
      </c>
      <c r="V15" s="43">
        <v>3</v>
      </c>
      <c r="W15" s="43">
        <v>1</v>
      </c>
      <c r="X15" s="43">
        <v>2</v>
      </c>
      <c r="Y15" s="43">
        <v>1</v>
      </c>
      <c r="Z15" s="43">
        <v>2</v>
      </c>
      <c r="AA15" s="43">
        <v>4</v>
      </c>
      <c r="AB15" s="43">
        <v>1</v>
      </c>
      <c r="AC15" s="43">
        <v>1</v>
      </c>
      <c r="AD15" s="43">
        <v>2</v>
      </c>
      <c r="AE15" s="43">
        <v>3</v>
      </c>
      <c r="AF15" s="43">
        <v>1</v>
      </c>
      <c r="AG15" s="43">
        <v>2</v>
      </c>
      <c r="AH15" s="43"/>
      <c r="AI15" s="43"/>
      <c r="AJ15" s="43"/>
      <c r="AK15" s="43"/>
      <c r="AL15" s="44"/>
    </row>
    <row r="16" spans="2:38" ht="20.100000000000001" customHeight="1" x14ac:dyDescent="0.2">
      <c r="B16" s="16">
        <v>20312057</v>
      </c>
      <c r="C16" s="53" t="s">
        <v>37</v>
      </c>
      <c r="D16" s="17">
        <v>7000</v>
      </c>
      <c r="E16" s="18">
        <f t="shared" si="2"/>
        <v>0</v>
      </c>
      <c r="F16" s="19">
        <f t="shared" si="1"/>
        <v>0</v>
      </c>
      <c r="G16" s="42"/>
      <c r="H16" s="69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4"/>
    </row>
    <row r="17" spans="2:38" ht="20.100000000000001" customHeight="1" x14ac:dyDescent="0.2">
      <c r="B17" s="16">
        <v>20312058</v>
      </c>
      <c r="C17" s="53" t="s">
        <v>38</v>
      </c>
      <c r="D17" s="17">
        <v>7000</v>
      </c>
      <c r="E17" s="18">
        <f t="shared" si="2"/>
        <v>0</v>
      </c>
      <c r="F17" s="19">
        <f t="shared" si="1"/>
        <v>0</v>
      </c>
      <c r="G17" s="42"/>
      <c r="H17" s="69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4"/>
    </row>
    <row r="18" spans="2:38" ht="20.100000000000001" customHeight="1" x14ac:dyDescent="0.2">
      <c r="B18" s="16">
        <v>20312059</v>
      </c>
      <c r="C18" s="53" t="s">
        <v>39</v>
      </c>
      <c r="D18" s="17">
        <v>7000</v>
      </c>
      <c r="E18" s="18">
        <f t="shared" si="2"/>
        <v>0</v>
      </c>
      <c r="F18" s="19">
        <f t="shared" si="1"/>
        <v>0</v>
      </c>
      <c r="G18" s="42"/>
      <c r="H18" s="69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4"/>
    </row>
    <row r="19" spans="2:38" ht="20.100000000000001" customHeight="1" x14ac:dyDescent="0.2">
      <c r="B19" s="54">
        <v>20312060</v>
      </c>
      <c r="C19" s="55" t="s">
        <v>40</v>
      </c>
      <c r="D19" s="56">
        <v>7000</v>
      </c>
      <c r="E19" s="50">
        <f t="shared" si="2"/>
        <v>0</v>
      </c>
      <c r="F19" s="19">
        <f t="shared" si="1"/>
        <v>0</v>
      </c>
      <c r="G19" s="61"/>
      <c r="H19" s="70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71"/>
      <c r="AJ19" s="71"/>
      <c r="AK19" s="71"/>
      <c r="AL19" s="72"/>
    </row>
    <row r="20" spans="2:38" ht="20.100000000000001" customHeight="1" x14ac:dyDescent="0.2">
      <c r="B20" s="139" t="s">
        <v>8</v>
      </c>
      <c r="C20" s="140"/>
      <c r="D20" s="137">
        <f>SUM(D6:D8,D10:D15)+D9*2</f>
        <v>61500</v>
      </c>
      <c r="E20" s="125">
        <f t="shared" ref="E20:AL20" si="3">SUM(E6:E19)</f>
        <v>4861000</v>
      </c>
      <c r="F20" s="22">
        <f>SUM(F6:F19)</f>
        <v>864</v>
      </c>
      <c r="G20" s="23">
        <f t="shared" ref="G20" si="4">SUM(G6:G19)</f>
        <v>23</v>
      </c>
      <c r="H20" s="23">
        <f t="shared" si="3"/>
        <v>42</v>
      </c>
      <c r="I20" s="23">
        <f t="shared" si="3"/>
        <v>34</v>
      </c>
      <c r="J20" s="23">
        <f t="shared" si="3"/>
        <v>27</v>
      </c>
      <c r="K20" s="23">
        <f t="shared" si="3"/>
        <v>39</v>
      </c>
      <c r="L20" s="23">
        <f t="shared" si="3"/>
        <v>28</v>
      </c>
      <c r="M20" s="23">
        <f t="shared" si="3"/>
        <v>24</v>
      </c>
      <c r="N20" s="23">
        <f t="shared" si="3"/>
        <v>33</v>
      </c>
      <c r="O20" s="23">
        <f t="shared" si="3"/>
        <v>28</v>
      </c>
      <c r="P20" s="23">
        <f t="shared" si="3"/>
        <v>24</v>
      </c>
      <c r="Q20" s="23">
        <f t="shared" si="3"/>
        <v>19</v>
      </c>
      <c r="R20" s="23">
        <f t="shared" si="3"/>
        <v>37</v>
      </c>
      <c r="S20" s="23">
        <f t="shared" si="3"/>
        <v>9</v>
      </c>
      <c r="T20" s="23">
        <f t="shared" si="3"/>
        <v>28</v>
      </c>
      <c r="U20" s="23">
        <f t="shared" si="3"/>
        <v>34</v>
      </c>
      <c r="V20" s="23">
        <f t="shared" si="3"/>
        <v>55</v>
      </c>
      <c r="W20" s="23">
        <f t="shared" si="3"/>
        <v>53</v>
      </c>
      <c r="X20" s="24">
        <f t="shared" si="3"/>
        <v>34</v>
      </c>
      <c r="Y20" s="23">
        <f t="shared" si="3"/>
        <v>28</v>
      </c>
      <c r="Z20" s="23">
        <f t="shared" si="3"/>
        <v>20</v>
      </c>
      <c r="AA20" s="23">
        <f t="shared" si="3"/>
        <v>25</v>
      </c>
      <c r="AB20" s="23">
        <f t="shared" si="3"/>
        <v>29</v>
      </c>
      <c r="AC20" s="23">
        <f t="shared" si="3"/>
        <v>25</v>
      </c>
      <c r="AD20" s="23">
        <f t="shared" si="3"/>
        <v>47</v>
      </c>
      <c r="AE20" s="23">
        <f t="shared" si="3"/>
        <v>35</v>
      </c>
      <c r="AF20" s="23">
        <f t="shared" si="3"/>
        <v>41</v>
      </c>
      <c r="AG20" s="23">
        <f t="shared" si="3"/>
        <v>32</v>
      </c>
      <c r="AH20" s="23">
        <f t="shared" si="3"/>
        <v>11</v>
      </c>
      <c r="AI20" s="23">
        <f t="shared" si="3"/>
        <v>0</v>
      </c>
      <c r="AJ20" s="23">
        <f t="shared" si="3"/>
        <v>0</v>
      </c>
      <c r="AK20" s="23">
        <f t="shared" si="3"/>
        <v>0</v>
      </c>
      <c r="AL20" s="25">
        <f t="shared" si="3"/>
        <v>0</v>
      </c>
    </row>
    <row r="21" spans="2:38" ht="20.100000000000001" customHeight="1" x14ac:dyDescent="0.2">
      <c r="B21" s="141"/>
      <c r="C21" s="142"/>
      <c r="D21" s="138"/>
      <c r="E21" s="126"/>
      <c r="F21" s="26">
        <f>$D6*F6+$D7*F7+$D8*F8+$D9*F9+$D10*F10+$D11*F11+$D12*F12+$D13*F13+$D14*F14+$D15*F15+$D16*F16+$D17*F17+$D18*F18+$D19*F19</f>
        <v>4861000</v>
      </c>
      <c r="G21" s="27">
        <f>$D6*G6+$D7*G7+$D8*G8+$D9*G9+$D10*G10+$D11*G11+$D12*G12+$D13*G13+$D14*G14+$D15*G15+$D16*G16+$D17*G17+$D18*G18+$D19*G19</f>
        <v>130500</v>
      </c>
      <c r="H21" s="27">
        <f>$D6*H6+$D7*H7+$D8*H8+$D9*H9+$D10*H10+$D11*H11+$D12*H12+$D13*H13+$D14*H14+$D15*H15+$D16*H16+$D17*H17+$D18*H18+$D19*H19</f>
        <v>241000</v>
      </c>
      <c r="I21" s="28">
        <f>$D6*I6+$D7*I7+$D8*I8+$D9*I9+$D10*I10+$D11*I11+$D12*I12+$D13*I13+$D14*I14+$D15*I15+$D16*I16+$D17*I17+$D18*I18+$D19*I19</f>
        <v>197500</v>
      </c>
      <c r="J21" s="28">
        <f>$D6*J6+$D7*J7+$D8*J8+$D9*J9+$D10*J10+$D11*J11+$D12*J12+$D13*J13+$D14*J14+$D15*J15+$D16*J16+$D17*J17+$D18*J18+$D19*J19</f>
        <v>159000</v>
      </c>
      <c r="K21" s="28">
        <f t="shared" ref="K21:P21" si="5">$D6*K6+$D7*K7+$D8*K8+$D9*K9+$D10*K10+$D11*K11+$D12*K12+$D13*K13+$D14*K14+$D15*K15+$D16*K16+$D17*K17+$D18*K18+$D19*K19</f>
        <v>218500</v>
      </c>
      <c r="L21" s="28">
        <f t="shared" si="5"/>
        <v>148000</v>
      </c>
      <c r="M21" s="28">
        <f t="shared" si="5"/>
        <v>127500</v>
      </c>
      <c r="N21" s="28">
        <f t="shared" si="5"/>
        <v>192500</v>
      </c>
      <c r="O21" s="28">
        <f t="shared" si="5"/>
        <v>153500</v>
      </c>
      <c r="P21" s="28">
        <f t="shared" si="5"/>
        <v>135500</v>
      </c>
      <c r="Q21" s="28">
        <f t="shared" ref="Q21:AL21" si="6">$D6*Q6+$D7*Q7+$D8*Q8+$D9*Q9+$D10*Q10+$D11*Q11+$D12*Q12+$D13*Q13+$D14*Q14+$D15*Q15+$D16*Q16+$D17*Q17+$D18*Q18+$D19*Q19</f>
        <v>113500</v>
      </c>
      <c r="R21" s="28">
        <f t="shared" si="6"/>
        <v>204000</v>
      </c>
      <c r="S21" s="28">
        <f t="shared" si="6"/>
        <v>52500</v>
      </c>
      <c r="T21" s="28">
        <f t="shared" si="6"/>
        <v>159500</v>
      </c>
      <c r="U21" s="28">
        <f t="shared" si="6"/>
        <v>194000</v>
      </c>
      <c r="V21" s="28">
        <f t="shared" si="6"/>
        <v>305000</v>
      </c>
      <c r="W21" s="28">
        <f t="shared" si="6"/>
        <v>304000</v>
      </c>
      <c r="X21" s="28">
        <f t="shared" si="6"/>
        <v>185000</v>
      </c>
      <c r="Y21" s="28">
        <f t="shared" si="6"/>
        <v>154500</v>
      </c>
      <c r="Z21" s="28">
        <f t="shared" si="6"/>
        <v>109000</v>
      </c>
      <c r="AA21" s="28">
        <f t="shared" si="6"/>
        <v>146000</v>
      </c>
      <c r="AB21" s="28">
        <f t="shared" si="6"/>
        <v>159500</v>
      </c>
      <c r="AC21" s="28">
        <f t="shared" si="6"/>
        <v>148500</v>
      </c>
      <c r="AD21" s="28">
        <f t="shared" si="6"/>
        <v>264500</v>
      </c>
      <c r="AE21" s="28">
        <f t="shared" si="6"/>
        <v>193500</v>
      </c>
      <c r="AF21" s="28">
        <f t="shared" si="6"/>
        <v>222000</v>
      </c>
      <c r="AG21" s="28">
        <f t="shared" si="6"/>
        <v>185000</v>
      </c>
      <c r="AH21" s="28">
        <f t="shared" si="6"/>
        <v>57500</v>
      </c>
      <c r="AI21" s="28">
        <f t="shared" si="6"/>
        <v>0</v>
      </c>
      <c r="AJ21" s="28">
        <f t="shared" si="6"/>
        <v>0</v>
      </c>
      <c r="AK21" s="28">
        <f t="shared" si="6"/>
        <v>0</v>
      </c>
      <c r="AL21" s="29">
        <f t="shared" si="6"/>
        <v>0</v>
      </c>
    </row>
    <row r="22" spans="2:38" ht="20.100000000000001" customHeight="1" x14ac:dyDescent="0.2"/>
    <row r="23" spans="2:38" ht="20.100000000000001" customHeight="1" x14ac:dyDescent="0.2">
      <c r="B23" s="122" t="s">
        <v>47</v>
      </c>
      <c r="C23" s="122"/>
      <c r="D23" s="122"/>
      <c r="E23" s="122"/>
      <c r="F23" s="122"/>
    </row>
    <row r="24" spans="2:38" ht="4.5" customHeight="1" x14ac:dyDescent="0.2"/>
    <row r="25" spans="2:38" ht="20.100000000000001" customHeight="1" x14ac:dyDescent="0.2">
      <c r="B25" s="131" t="s">
        <v>2</v>
      </c>
      <c r="C25" s="133" t="s">
        <v>3</v>
      </c>
      <c r="D25" s="135" t="s">
        <v>4</v>
      </c>
      <c r="E25" s="129" t="s">
        <v>5</v>
      </c>
      <c r="F25" s="127" t="s">
        <v>9</v>
      </c>
      <c r="G25" s="91"/>
      <c r="H25" s="120" t="s">
        <v>7</v>
      </c>
      <c r="I25" s="120"/>
      <c r="J25" s="120"/>
      <c r="K25" s="120"/>
      <c r="L25" s="120"/>
      <c r="M25" s="120"/>
      <c r="N25" s="120"/>
      <c r="O25" s="120"/>
      <c r="P25" s="120"/>
      <c r="Q25" s="120"/>
      <c r="R25" s="120"/>
      <c r="S25" s="120"/>
      <c r="T25" s="120"/>
      <c r="U25" s="120"/>
      <c r="V25" s="120"/>
      <c r="W25" s="120"/>
      <c r="X25" s="120"/>
      <c r="Y25" s="120"/>
      <c r="Z25" s="120"/>
      <c r="AA25" s="120"/>
      <c r="AB25" s="120"/>
      <c r="AC25" s="120"/>
      <c r="AD25" s="120"/>
      <c r="AE25" s="120"/>
      <c r="AF25" s="120"/>
      <c r="AG25" s="120"/>
      <c r="AH25" s="120"/>
      <c r="AI25" s="120"/>
      <c r="AJ25" s="120"/>
      <c r="AK25" s="120"/>
      <c r="AL25" s="121"/>
    </row>
    <row r="26" spans="2:38" ht="20.100000000000001" customHeight="1" x14ac:dyDescent="0.2">
      <c r="B26" s="132"/>
      <c r="C26" s="134"/>
      <c r="D26" s="136"/>
      <c r="E26" s="130"/>
      <c r="F26" s="128"/>
      <c r="G26" s="92">
        <f>G5</f>
        <v>31</v>
      </c>
      <c r="H26" s="6">
        <v>1</v>
      </c>
      <c r="I26" s="7">
        <v>2</v>
      </c>
      <c r="J26" s="7">
        <v>3</v>
      </c>
      <c r="K26" s="7">
        <v>4</v>
      </c>
      <c r="L26" s="7">
        <v>5</v>
      </c>
      <c r="M26" s="7">
        <v>6</v>
      </c>
      <c r="N26" s="7">
        <v>7</v>
      </c>
      <c r="O26" s="7">
        <v>8</v>
      </c>
      <c r="P26" s="7">
        <v>9</v>
      </c>
      <c r="Q26" s="7">
        <v>10</v>
      </c>
      <c r="R26" s="7">
        <v>11</v>
      </c>
      <c r="S26" s="7">
        <v>12</v>
      </c>
      <c r="T26" s="7">
        <v>13</v>
      </c>
      <c r="U26" s="7">
        <v>14</v>
      </c>
      <c r="V26" s="7">
        <v>15</v>
      </c>
      <c r="W26" s="7">
        <v>16</v>
      </c>
      <c r="X26" s="7">
        <v>17</v>
      </c>
      <c r="Y26" s="7">
        <v>18</v>
      </c>
      <c r="Z26" s="7">
        <v>19</v>
      </c>
      <c r="AA26" s="7">
        <v>20</v>
      </c>
      <c r="AB26" s="7">
        <v>21</v>
      </c>
      <c r="AC26" s="7">
        <v>22</v>
      </c>
      <c r="AD26" s="7">
        <v>23</v>
      </c>
      <c r="AE26" s="7">
        <v>24</v>
      </c>
      <c r="AF26" s="7">
        <v>25</v>
      </c>
      <c r="AG26" s="7">
        <v>26</v>
      </c>
      <c r="AH26" s="7">
        <v>27</v>
      </c>
      <c r="AI26" s="7">
        <v>28</v>
      </c>
      <c r="AJ26" s="7">
        <v>29</v>
      </c>
      <c r="AK26" s="8">
        <v>30</v>
      </c>
      <c r="AL26" s="9">
        <v>31</v>
      </c>
    </row>
    <row r="27" spans="2:38" ht="20.100000000000001" customHeight="1" x14ac:dyDescent="0.2">
      <c r="B27" s="10">
        <v>10553408</v>
      </c>
      <c r="C27" s="52" t="s">
        <v>27</v>
      </c>
      <c r="D27" s="11">
        <v>6000</v>
      </c>
      <c r="E27" s="12">
        <f t="shared" ref="E27:E40" si="7">D27*F27</f>
        <v>0</v>
      </c>
      <c r="F27" s="13">
        <f t="shared" ref="F27:F40" si="8">SUM(G27:AL27)</f>
        <v>0</v>
      </c>
      <c r="G27" s="39"/>
      <c r="H27" s="66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7"/>
      <c r="AC27" s="67"/>
      <c r="AD27" s="67"/>
      <c r="AE27" s="67"/>
      <c r="AF27" s="67"/>
      <c r="AG27" s="67"/>
      <c r="AH27" s="67"/>
      <c r="AI27" s="67"/>
      <c r="AJ27" s="67"/>
      <c r="AK27" s="67"/>
      <c r="AL27" s="68"/>
    </row>
    <row r="28" spans="2:38" ht="20.100000000000001" customHeight="1" x14ac:dyDescent="0.2">
      <c r="B28" s="16">
        <v>10553612</v>
      </c>
      <c r="C28" s="53" t="s">
        <v>28</v>
      </c>
      <c r="D28" s="17">
        <v>6500</v>
      </c>
      <c r="E28" s="18">
        <f t="shared" si="7"/>
        <v>0</v>
      </c>
      <c r="F28" s="19">
        <f t="shared" si="8"/>
        <v>0</v>
      </c>
      <c r="G28" s="42"/>
      <c r="H28" s="69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4"/>
    </row>
    <row r="29" spans="2:38" ht="20.100000000000001" customHeight="1" x14ac:dyDescent="0.2">
      <c r="B29" s="16">
        <v>10553613</v>
      </c>
      <c r="C29" s="53" t="s">
        <v>29</v>
      </c>
      <c r="D29" s="17">
        <v>7000</v>
      </c>
      <c r="E29" s="18">
        <f t="shared" si="7"/>
        <v>0</v>
      </c>
      <c r="F29" s="19">
        <f t="shared" si="8"/>
        <v>0</v>
      </c>
      <c r="G29" s="42"/>
      <c r="H29" s="69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4"/>
    </row>
    <row r="30" spans="2:38" ht="20.100000000000001" customHeight="1" x14ac:dyDescent="0.2">
      <c r="B30" s="16">
        <v>12412003</v>
      </c>
      <c r="C30" s="53" t="s">
        <v>30</v>
      </c>
      <c r="D30" s="17">
        <v>5500</v>
      </c>
      <c r="E30" s="18">
        <f t="shared" si="7"/>
        <v>0</v>
      </c>
      <c r="F30" s="19">
        <f t="shared" si="8"/>
        <v>0</v>
      </c>
      <c r="G30" s="42"/>
      <c r="H30" s="69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4"/>
    </row>
    <row r="31" spans="2:38" ht="20.100000000000001" customHeight="1" x14ac:dyDescent="0.2">
      <c r="B31" s="16">
        <v>12412022</v>
      </c>
      <c r="C31" s="53" t="s">
        <v>31</v>
      </c>
      <c r="D31" s="17">
        <v>4000</v>
      </c>
      <c r="E31" s="18">
        <f t="shared" si="7"/>
        <v>0</v>
      </c>
      <c r="F31" s="19">
        <f t="shared" si="8"/>
        <v>0</v>
      </c>
      <c r="G31" s="42"/>
      <c r="H31" s="69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4"/>
    </row>
    <row r="32" spans="2:38" ht="20.100000000000001" customHeight="1" x14ac:dyDescent="0.2">
      <c r="B32" s="16">
        <v>12412023</v>
      </c>
      <c r="C32" s="53" t="s">
        <v>32</v>
      </c>
      <c r="D32" s="17">
        <v>4000</v>
      </c>
      <c r="E32" s="18">
        <f t="shared" si="7"/>
        <v>0</v>
      </c>
      <c r="F32" s="19">
        <f t="shared" si="8"/>
        <v>0</v>
      </c>
      <c r="G32" s="42"/>
      <c r="H32" s="69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4"/>
    </row>
    <row r="33" spans="2:38" ht="20.100000000000001" customHeight="1" x14ac:dyDescent="0.2">
      <c r="B33" s="16">
        <v>12412026</v>
      </c>
      <c r="C33" s="53" t="s">
        <v>33</v>
      </c>
      <c r="D33" s="17">
        <v>4000</v>
      </c>
      <c r="E33" s="18">
        <f t="shared" si="7"/>
        <v>0</v>
      </c>
      <c r="F33" s="19">
        <f t="shared" si="8"/>
        <v>0</v>
      </c>
      <c r="G33" s="42"/>
      <c r="H33" s="69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4"/>
    </row>
    <row r="34" spans="2:38" ht="20.100000000000001" customHeight="1" x14ac:dyDescent="0.2">
      <c r="B34" s="16">
        <v>12412239</v>
      </c>
      <c r="C34" s="53" t="s">
        <v>34</v>
      </c>
      <c r="D34" s="17">
        <v>5000</v>
      </c>
      <c r="E34" s="18">
        <f t="shared" si="7"/>
        <v>0</v>
      </c>
      <c r="F34" s="19">
        <f t="shared" si="8"/>
        <v>0</v>
      </c>
      <c r="G34" s="42"/>
      <c r="H34" s="69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4"/>
    </row>
    <row r="35" spans="2:38" ht="20.100000000000001" customHeight="1" x14ac:dyDescent="0.2">
      <c r="B35" s="16">
        <v>20312001</v>
      </c>
      <c r="C35" s="53" t="s">
        <v>35</v>
      </c>
      <c r="D35" s="17">
        <v>7000</v>
      </c>
      <c r="E35" s="18">
        <f t="shared" si="7"/>
        <v>0</v>
      </c>
      <c r="F35" s="19">
        <f t="shared" si="8"/>
        <v>0</v>
      </c>
      <c r="G35" s="42"/>
      <c r="H35" s="69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4"/>
    </row>
    <row r="36" spans="2:38" ht="20.100000000000001" customHeight="1" x14ac:dyDescent="0.2">
      <c r="B36" s="16">
        <v>20312002</v>
      </c>
      <c r="C36" s="53" t="s">
        <v>36</v>
      </c>
      <c r="D36" s="17">
        <v>7000</v>
      </c>
      <c r="E36" s="18">
        <f t="shared" si="7"/>
        <v>0</v>
      </c>
      <c r="F36" s="19">
        <f t="shared" si="8"/>
        <v>0</v>
      </c>
      <c r="G36" s="42"/>
      <c r="H36" s="69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4"/>
    </row>
    <row r="37" spans="2:38" ht="20.100000000000001" customHeight="1" x14ac:dyDescent="0.2">
      <c r="B37" s="16">
        <v>20312057</v>
      </c>
      <c r="C37" s="53" t="s">
        <v>37</v>
      </c>
      <c r="D37" s="17">
        <v>7000</v>
      </c>
      <c r="E37" s="18">
        <f t="shared" si="7"/>
        <v>0</v>
      </c>
      <c r="F37" s="19">
        <f t="shared" si="8"/>
        <v>0</v>
      </c>
      <c r="G37" s="42"/>
      <c r="H37" s="69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4"/>
    </row>
    <row r="38" spans="2:38" ht="20.100000000000001" customHeight="1" x14ac:dyDescent="0.2">
      <c r="B38" s="16">
        <v>20312058</v>
      </c>
      <c r="C38" s="53" t="s">
        <v>38</v>
      </c>
      <c r="D38" s="17">
        <v>7000</v>
      </c>
      <c r="E38" s="18">
        <f t="shared" si="7"/>
        <v>0</v>
      </c>
      <c r="F38" s="19">
        <f t="shared" si="8"/>
        <v>0</v>
      </c>
      <c r="G38" s="42"/>
      <c r="H38" s="69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4"/>
    </row>
    <row r="39" spans="2:38" ht="20.100000000000001" customHeight="1" x14ac:dyDescent="0.2">
      <c r="B39" s="16">
        <v>20312059</v>
      </c>
      <c r="C39" s="53" t="s">
        <v>39</v>
      </c>
      <c r="D39" s="17">
        <v>7000</v>
      </c>
      <c r="E39" s="18">
        <f t="shared" si="7"/>
        <v>0</v>
      </c>
      <c r="F39" s="19">
        <f t="shared" si="8"/>
        <v>0</v>
      </c>
      <c r="G39" s="42"/>
      <c r="H39" s="69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4"/>
    </row>
    <row r="40" spans="2:38" ht="20.100000000000001" customHeight="1" x14ac:dyDescent="0.2">
      <c r="B40" s="54">
        <v>20312060</v>
      </c>
      <c r="C40" s="55" t="s">
        <v>40</v>
      </c>
      <c r="D40" s="56">
        <v>7000</v>
      </c>
      <c r="E40" s="50">
        <f t="shared" si="7"/>
        <v>0</v>
      </c>
      <c r="F40" s="19">
        <f t="shared" si="8"/>
        <v>0</v>
      </c>
      <c r="G40" s="61"/>
      <c r="H40" s="70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  <c r="AG40" s="71"/>
      <c r="AH40" s="71"/>
      <c r="AI40" s="71"/>
      <c r="AJ40" s="71"/>
      <c r="AK40" s="71"/>
      <c r="AL40" s="72"/>
    </row>
    <row r="41" spans="2:38" ht="20.100000000000001" customHeight="1" x14ac:dyDescent="0.2">
      <c r="B41" s="139" t="s">
        <v>8</v>
      </c>
      <c r="C41" s="140"/>
      <c r="D41" s="137">
        <f>SUM(D27:D29,D31:D36)+D30*2</f>
        <v>61500</v>
      </c>
      <c r="E41" s="125">
        <f t="shared" ref="E41:AL41" si="9">SUM(E27:E40)</f>
        <v>0</v>
      </c>
      <c r="F41" s="22">
        <f>SUM(F27:F40)</f>
        <v>0</v>
      </c>
      <c r="G41" s="23">
        <f t="shared" ref="G41" si="10">SUM(G27:G40)</f>
        <v>0</v>
      </c>
      <c r="H41" s="23">
        <f t="shared" si="9"/>
        <v>0</v>
      </c>
      <c r="I41" s="23">
        <f t="shared" si="9"/>
        <v>0</v>
      </c>
      <c r="J41" s="23">
        <f t="shared" si="9"/>
        <v>0</v>
      </c>
      <c r="K41" s="23">
        <f t="shared" si="9"/>
        <v>0</v>
      </c>
      <c r="L41" s="23">
        <f t="shared" si="9"/>
        <v>0</v>
      </c>
      <c r="M41" s="23">
        <f t="shared" si="9"/>
        <v>0</v>
      </c>
      <c r="N41" s="23">
        <f t="shared" si="9"/>
        <v>0</v>
      </c>
      <c r="O41" s="23">
        <f t="shared" si="9"/>
        <v>0</v>
      </c>
      <c r="P41" s="23">
        <f t="shared" si="9"/>
        <v>0</v>
      </c>
      <c r="Q41" s="23">
        <f t="shared" si="9"/>
        <v>0</v>
      </c>
      <c r="R41" s="23">
        <f t="shared" si="9"/>
        <v>0</v>
      </c>
      <c r="S41" s="23">
        <f t="shared" si="9"/>
        <v>0</v>
      </c>
      <c r="T41" s="23">
        <f t="shared" si="9"/>
        <v>0</v>
      </c>
      <c r="U41" s="23">
        <f t="shared" si="9"/>
        <v>0</v>
      </c>
      <c r="V41" s="23">
        <f t="shared" si="9"/>
        <v>0</v>
      </c>
      <c r="W41" s="23">
        <f t="shared" si="9"/>
        <v>0</v>
      </c>
      <c r="X41" s="24">
        <f t="shared" si="9"/>
        <v>0</v>
      </c>
      <c r="Y41" s="23">
        <f t="shared" si="9"/>
        <v>0</v>
      </c>
      <c r="Z41" s="23">
        <f t="shared" si="9"/>
        <v>0</v>
      </c>
      <c r="AA41" s="23">
        <f t="shared" si="9"/>
        <v>0</v>
      </c>
      <c r="AB41" s="23">
        <f t="shared" si="9"/>
        <v>0</v>
      </c>
      <c r="AC41" s="23">
        <f t="shared" si="9"/>
        <v>0</v>
      </c>
      <c r="AD41" s="23">
        <f t="shared" si="9"/>
        <v>0</v>
      </c>
      <c r="AE41" s="23">
        <f t="shared" si="9"/>
        <v>0</v>
      </c>
      <c r="AF41" s="23">
        <f t="shared" si="9"/>
        <v>0</v>
      </c>
      <c r="AG41" s="23">
        <f t="shared" si="9"/>
        <v>0</v>
      </c>
      <c r="AH41" s="23">
        <f t="shared" si="9"/>
        <v>0</v>
      </c>
      <c r="AI41" s="23">
        <f t="shared" si="9"/>
        <v>0</v>
      </c>
      <c r="AJ41" s="23">
        <f t="shared" si="9"/>
        <v>0</v>
      </c>
      <c r="AK41" s="23">
        <f t="shared" si="9"/>
        <v>0</v>
      </c>
      <c r="AL41" s="25">
        <f t="shared" si="9"/>
        <v>0</v>
      </c>
    </row>
    <row r="42" spans="2:38" ht="20.100000000000001" customHeight="1" x14ac:dyDescent="0.2">
      <c r="B42" s="141"/>
      <c r="C42" s="142"/>
      <c r="D42" s="138"/>
      <c r="E42" s="126"/>
      <c r="F42" s="26">
        <f t="shared" ref="F42:AL42" si="11">$D27*F27+$D28*F28+$D29*F29+$D30*F30+$D31*F31+$D32*F32+$D33*F33+$D34*F34+$D35*F35+$D36*F36+$D37*F37+$D38*F38+$D39*F39+$D40*F40</f>
        <v>0</v>
      </c>
      <c r="G42" s="27">
        <f t="shared" ref="G42" si="12">$D27*G27+$D28*G28+$D29*G29+$D30*G30+$D31*G31+$D32*G32+$D33*G33+$D34*G34+$D35*G35+$D36*G36+$D37*G37+$D38*G38+$D39*G39+$D40*G40</f>
        <v>0</v>
      </c>
      <c r="H42" s="27">
        <f t="shared" si="11"/>
        <v>0</v>
      </c>
      <c r="I42" s="28">
        <f t="shared" si="11"/>
        <v>0</v>
      </c>
      <c r="J42" s="28">
        <f t="shared" si="11"/>
        <v>0</v>
      </c>
      <c r="K42" s="28">
        <f t="shared" si="11"/>
        <v>0</v>
      </c>
      <c r="L42" s="28">
        <f t="shared" si="11"/>
        <v>0</v>
      </c>
      <c r="M42" s="28">
        <f t="shared" si="11"/>
        <v>0</v>
      </c>
      <c r="N42" s="28">
        <f t="shared" si="11"/>
        <v>0</v>
      </c>
      <c r="O42" s="28">
        <f t="shared" si="11"/>
        <v>0</v>
      </c>
      <c r="P42" s="28">
        <f t="shared" si="11"/>
        <v>0</v>
      </c>
      <c r="Q42" s="28">
        <f t="shared" si="11"/>
        <v>0</v>
      </c>
      <c r="R42" s="28">
        <f t="shared" si="11"/>
        <v>0</v>
      </c>
      <c r="S42" s="28">
        <f t="shared" si="11"/>
        <v>0</v>
      </c>
      <c r="T42" s="28">
        <f t="shared" si="11"/>
        <v>0</v>
      </c>
      <c r="U42" s="28">
        <f t="shared" si="11"/>
        <v>0</v>
      </c>
      <c r="V42" s="28">
        <f t="shared" si="11"/>
        <v>0</v>
      </c>
      <c r="W42" s="28">
        <f t="shared" si="11"/>
        <v>0</v>
      </c>
      <c r="X42" s="28">
        <f t="shared" si="11"/>
        <v>0</v>
      </c>
      <c r="Y42" s="28">
        <f t="shared" si="11"/>
        <v>0</v>
      </c>
      <c r="Z42" s="28">
        <f t="shared" si="11"/>
        <v>0</v>
      </c>
      <c r="AA42" s="28">
        <f t="shared" si="11"/>
        <v>0</v>
      </c>
      <c r="AB42" s="28">
        <f t="shared" si="11"/>
        <v>0</v>
      </c>
      <c r="AC42" s="28">
        <f t="shared" si="11"/>
        <v>0</v>
      </c>
      <c r="AD42" s="28">
        <f t="shared" si="11"/>
        <v>0</v>
      </c>
      <c r="AE42" s="28">
        <f t="shared" si="11"/>
        <v>0</v>
      </c>
      <c r="AF42" s="28">
        <f t="shared" si="11"/>
        <v>0</v>
      </c>
      <c r="AG42" s="28">
        <f t="shared" si="11"/>
        <v>0</v>
      </c>
      <c r="AH42" s="28">
        <f t="shared" si="11"/>
        <v>0</v>
      </c>
      <c r="AI42" s="28">
        <f t="shared" si="11"/>
        <v>0</v>
      </c>
      <c r="AJ42" s="28">
        <f t="shared" si="11"/>
        <v>0</v>
      </c>
      <c r="AK42" s="28">
        <f t="shared" si="11"/>
        <v>0</v>
      </c>
      <c r="AL42" s="29">
        <f t="shared" si="11"/>
        <v>0</v>
      </c>
    </row>
    <row r="43" spans="2:38" ht="20.100000000000001" customHeight="1" x14ac:dyDescent="0.2"/>
    <row r="44" spans="2:38" ht="16.5" x14ac:dyDescent="0.2">
      <c r="B44" s="122" t="s">
        <v>11</v>
      </c>
      <c r="C44" s="122"/>
      <c r="D44" s="122"/>
      <c r="E44" s="122"/>
      <c r="F44" s="122"/>
    </row>
    <row r="45" spans="2:38" ht="6" customHeight="1" x14ac:dyDescent="0.2"/>
    <row r="46" spans="2:38" ht="20.100000000000001" customHeight="1" x14ac:dyDescent="0.2">
      <c r="B46" s="131" t="s">
        <v>2</v>
      </c>
      <c r="C46" s="133" t="s">
        <v>3</v>
      </c>
      <c r="D46" s="135" t="s">
        <v>4</v>
      </c>
      <c r="E46" s="129" t="s">
        <v>5</v>
      </c>
      <c r="F46" s="127" t="s">
        <v>9</v>
      </c>
      <c r="G46" s="91"/>
      <c r="H46" s="120" t="s">
        <v>7</v>
      </c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20"/>
      <c r="AB46" s="120"/>
      <c r="AC46" s="120"/>
      <c r="AD46" s="120"/>
      <c r="AE46" s="120"/>
      <c r="AF46" s="120"/>
      <c r="AG46" s="120"/>
      <c r="AH46" s="120"/>
      <c r="AI46" s="120"/>
      <c r="AJ46" s="120"/>
      <c r="AK46" s="120"/>
      <c r="AL46" s="121"/>
    </row>
    <row r="47" spans="2:38" ht="20.100000000000001" customHeight="1" x14ac:dyDescent="0.2">
      <c r="B47" s="132"/>
      <c r="C47" s="134"/>
      <c r="D47" s="136"/>
      <c r="E47" s="130"/>
      <c r="F47" s="128"/>
      <c r="G47" s="92">
        <f>G5</f>
        <v>31</v>
      </c>
      <c r="H47" s="6">
        <v>1</v>
      </c>
      <c r="I47" s="7">
        <v>2</v>
      </c>
      <c r="J47" s="7">
        <v>3</v>
      </c>
      <c r="K47" s="7">
        <v>4</v>
      </c>
      <c r="L47" s="7">
        <v>5</v>
      </c>
      <c r="M47" s="7">
        <v>6</v>
      </c>
      <c r="N47" s="7">
        <v>7</v>
      </c>
      <c r="O47" s="7">
        <v>8</v>
      </c>
      <c r="P47" s="7">
        <v>9</v>
      </c>
      <c r="Q47" s="7">
        <v>10</v>
      </c>
      <c r="R47" s="7">
        <v>11</v>
      </c>
      <c r="S47" s="7">
        <v>12</v>
      </c>
      <c r="T47" s="7">
        <v>13</v>
      </c>
      <c r="U47" s="7">
        <v>14</v>
      </c>
      <c r="V47" s="7">
        <v>15</v>
      </c>
      <c r="W47" s="7">
        <v>16</v>
      </c>
      <c r="X47" s="7">
        <v>17</v>
      </c>
      <c r="Y47" s="7">
        <v>18</v>
      </c>
      <c r="Z47" s="7">
        <v>19</v>
      </c>
      <c r="AA47" s="7">
        <v>20</v>
      </c>
      <c r="AB47" s="7">
        <v>21</v>
      </c>
      <c r="AC47" s="7">
        <v>22</v>
      </c>
      <c r="AD47" s="7">
        <v>23</v>
      </c>
      <c r="AE47" s="7">
        <v>24</v>
      </c>
      <c r="AF47" s="7">
        <v>25</v>
      </c>
      <c r="AG47" s="7">
        <v>26</v>
      </c>
      <c r="AH47" s="7">
        <v>27</v>
      </c>
      <c r="AI47" s="7">
        <v>28</v>
      </c>
      <c r="AJ47" s="7">
        <v>29</v>
      </c>
      <c r="AK47" s="8">
        <v>30</v>
      </c>
      <c r="AL47" s="9">
        <v>31</v>
      </c>
    </row>
    <row r="48" spans="2:38" ht="20.100000000000001" customHeight="1" x14ac:dyDescent="0.2">
      <c r="B48" s="10">
        <v>10553408</v>
      </c>
      <c r="C48" s="52" t="s">
        <v>27</v>
      </c>
      <c r="D48" s="11">
        <v>6000</v>
      </c>
      <c r="E48" s="12">
        <f t="shared" ref="E48:E61" si="13">D48*F48</f>
        <v>0</v>
      </c>
      <c r="F48" s="13">
        <f t="shared" ref="F48:F61" si="14">SUM(G48:AL48)</f>
        <v>0</v>
      </c>
      <c r="G48" s="39"/>
      <c r="H48" s="66"/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  <c r="AA48" s="67"/>
      <c r="AB48" s="67"/>
      <c r="AC48" s="67"/>
      <c r="AD48" s="67"/>
      <c r="AE48" s="67"/>
      <c r="AF48" s="67"/>
      <c r="AG48" s="67"/>
      <c r="AH48" s="67"/>
      <c r="AI48" s="67"/>
      <c r="AJ48" s="67"/>
      <c r="AK48" s="67"/>
      <c r="AL48" s="68"/>
    </row>
    <row r="49" spans="2:38" ht="20.100000000000001" customHeight="1" x14ac:dyDescent="0.2">
      <c r="B49" s="16">
        <v>10553612</v>
      </c>
      <c r="C49" s="53" t="s">
        <v>28</v>
      </c>
      <c r="D49" s="17">
        <v>6500</v>
      </c>
      <c r="E49" s="18">
        <f t="shared" si="13"/>
        <v>0</v>
      </c>
      <c r="F49" s="19">
        <f t="shared" si="14"/>
        <v>0</v>
      </c>
      <c r="G49" s="42"/>
      <c r="H49" s="69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  <c r="AI49" s="43"/>
      <c r="AJ49" s="43"/>
      <c r="AK49" s="43"/>
      <c r="AL49" s="44"/>
    </row>
    <row r="50" spans="2:38" ht="20.100000000000001" customHeight="1" x14ac:dyDescent="0.2">
      <c r="B50" s="16">
        <v>10553613</v>
      </c>
      <c r="C50" s="53" t="s">
        <v>29</v>
      </c>
      <c r="D50" s="17">
        <v>7000</v>
      </c>
      <c r="E50" s="18">
        <f t="shared" si="13"/>
        <v>0</v>
      </c>
      <c r="F50" s="19">
        <f t="shared" si="14"/>
        <v>0</v>
      </c>
      <c r="G50" s="42"/>
      <c r="H50" s="69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  <c r="AK50" s="43"/>
      <c r="AL50" s="44"/>
    </row>
    <row r="51" spans="2:38" ht="20.100000000000001" customHeight="1" x14ac:dyDescent="0.2">
      <c r="B51" s="16">
        <v>12412003</v>
      </c>
      <c r="C51" s="53" t="s">
        <v>30</v>
      </c>
      <c r="D51" s="17">
        <v>5500</v>
      </c>
      <c r="E51" s="18">
        <f t="shared" si="13"/>
        <v>93500</v>
      </c>
      <c r="F51" s="19">
        <f t="shared" si="14"/>
        <v>17</v>
      </c>
      <c r="G51" s="42">
        <v>6</v>
      </c>
      <c r="H51" s="69"/>
      <c r="I51" s="43"/>
      <c r="J51" s="43">
        <v>6</v>
      </c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>
        <v>5</v>
      </c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  <c r="AJ51" s="43"/>
      <c r="AK51" s="43"/>
      <c r="AL51" s="44"/>
    </row>
    <row r="52" spans="2:38" ht="20.100000000000001" customHeight="1" x14ac:dyDescent="0.2">
      <c r="B52" s="16">
        <v>12412022</v>
      </c>
      <c r="C52" s="53" t="s">
        <v>31</v>
      </c>
      <c r="D52" s="17">
        <v>4000</v>
      </c>
      <c r="E52" s="18">
        <f t="shared" si="13"/>
        <v>0</v>
      </c>
      <c r="F52" s="19">
        <f t="shared" si="14"/>
        <v>0</v>
      </c>
      <c r="G52" s="42"/>
      <c r="H52" s="69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  <c r="AH52" s="43"/>
      <c r="AI52" s="43"/>
      <c r="AJ52" s="43"/>
      <c r="AK52" s="43"/>
      <c r="AL52" s="44"/>
    </row>
    <row r="53" spans="2:38" ht="20.100000000000001" customHeight="1" x14ac:dyDescent="0.2">
      <c r="B53" s="16">
        <v>12412023</v>
      </c>
      <c r="C53" s="53" t="s">
        <v>32</v>
      </c>
      <c r="D53" s="17">
        <v>4000</v>
      </c>
      <c r="E53" s="18">
        <f t="shared" si="13"/>
        <v>0</v>
      </c>
      <c r="F53" s="19">
        <f t="shared" si="14"/>
        <v>0</v>
      </c>
      <c r="G53" s="42"/>
      <c r="H53" s="69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43"/>
      <c r="AI53" s="43"/>
      <c r="AJ53" s="43"/>
      <c r="AK53" s="43"/>
      <c r="AL53" s="44"/>
    </row>
    <row r="54" spans="2:38" ht="20.100000000000001" customHeight="1" x14ac:dyDescent="0.2">
      <c r="B54" s="16">
        <v>12412026</v>
      </c>
      <c r="C54" s="53" t="s">
        <v>33</v>
      </c>
      <c r="D54" s="17">
        <v>4000</v>
      </c>
      <c r="E54" s="18">
        <f t="shared" si="13"/>
        <v>0</v>
      </c>
      <c r="F54" s="19">
        <f t="shared" si="14"/>
        <v>0</v>
      </c>
      <c r="G54" s="42"/>
      <c r="H54" s="69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  <c r="AK54" s="43"/>
      <c r="AL54" s="44"/>
    </row>
    <row r="55" spans="2:38" ht="20.100000000000001" customHeight="1" x14ac:dyDescent="0.2">
      <c r="B55" s="16">
        <v>12412239</v>
      </c>
      <c r="C55" s="53" t="s">
        <v>34</v>
      </c>
      <c r="D55" s="17">
        <v>5000</v>
      </c>
      <c r="E55" s="18">
        <f t="shared" si="13"/>
        <v>0</v>
      </c>
      <c r="F55" s="19">
        <f t="shared" si="14"/>
        <v>0</v>
      </c>
      <c r="G55" s="42"/>
      <c r="H55" s="69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  <c r="AK55" s="43"/>
      <c r="AL55" s="44"/>
    </row>
    <row r="56" spans="2:38" ht="20.100000000000001" customHeight="1" x14ac:dyDescent="0.2">
      <c r="B56" s="16">
        <v>20312001</v>
      </c>
      <c r="C56" s="53" t="s">
        <v>35</v>
      </c>
      <c r="D56" s="17">
        <v>7000</v>
      </c>
      <c r="E56" s="18">
        <f t="shared" si="13"/>
        <v>0</v>
      </c>
      <c r="F56" s="19">
        <f t="shared" si="14"/>
        <v>0</v>
      </c>
      <c r="G56" s="42"/>
      <c r="H56" s="69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  <c r="AI56" s="43"/>
      <c r="AJ56" s="43"/>
      <c r="AK56" s="43"/>
      <c r="AL56" s="44"/>
    </row>
    <row r="57" spans="2:38" ht="20.100000000000001" customHeight="1" x14ac:dyDescent="0.2">
      <c r="B57" s="16">
        <v>20312002</v>
      </c>
      <c r="C57" s="53" t="s">
        <v>36</v>
      </c>
      <c r="D57" s="17">
        <v>7000</v>
      </c>
      <c r="E57" s="18">
        <f t="shared" si="13"/>
        <v>0</v>
      </c>
      <c r="F57" s="19">
        <f t="shared" si="14"/>
        <v>0</v>
      </c>
      <c r="G57" s="42"/>
      <c r="H57" s="69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  <c r="AI57" s="43"/>
      <c r="AJ57" s="43"/>
      <c r="AK57" s="43"/>
      <c r="AL57" s="44"/>
    </row>
    <row r="58" spans="2:38" ht="20.100000000000001" customHeight="1" x14ac:dyDescent="0.2">
      <c r="B58" s="16">
        <v>20312057</v>
      </c>
      <c r="C58" s="53" t="s">
        <v>37</v>
      </c>
      <c r="D58" s="17">
        <v>7000</v>
      </c>
      <c r="E58" s="18">
        <f t="shared" si="13"/>
        <v>0</v>
      </c>
      <c r="F58" s="19">
        <f t="shared" si="14"/>
        <v>0</v>
      </c>
      <c r="G58" s="42"/>
      <c r="H58" s="69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H58" s="43"/>
      <c r="AI58" s="43"/>
      <c r="AJ58" s="43"/>
      <c r="AK58" s="43"/>
      <c r="AL58" s="44"/>
    </row>
    <row r="59" spans="2:38" ht="20.100000000000001" customHeight="1" x14ac:dyDescent="0.2">
      <c r="B59" s="16">
        <v>20312058</v>
      </c>
      <c r="C59" s="53" t="s">
        <v>38</v>
      </c>
      <c r="D59" s="17">
        <v>7000</v>
      </c>
      <c r="E59" s="18">
        <f t="shared" si="13"/>
        <v>0</v>
      </c>
      <c r="F59" s="19">
        <f t="shared" si="14"/>
        <v>0</v>
      </c>
      <c r="G59" s="42"/>
      <c r="H59" s="69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  <c r="AH59" s="43"/>
      <c r="AI59" s="43"/>
      <c r="AJ59" s="43"/>
      <c r="AK59" s="43"/>
      <c r="AL59" s="44"/>
    </row>
    <row r="60" spans="2:38" ht="20.100000000000001" customHeight="1" x14ac:dyDescent="0.2">
      <c r="B60" s="16">
        <v>20312059</v>
      </c>
      <c r="C60" s="53" t="s">
        <v>39</v>
      </c>
      <c r="D60" s="17">
        <v>7000</v>
      </c>
      <c r="E60" s="18">
        <f t="shared" si="13"/>
        <v>0</v>
      </c>
      <c r="F60" s="19">
        <f t="shared" si="14"/>
        <v>0</v>
      </c>
      <c r="G60" s="42"/>
      <c r="H60" s="69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  <c r="AI60" s="43"/>
      <c r="AJ60" s="43"/>
      <c r="AK60" s="43"/>
      <c r="AL60" s="44"/>
    </row>
    <row r="61" spans="2:38" ht="20.100000000000001" customHeight="1" x14ac:dyDescent="0.2">
      <c r="B61" s="54">
        <v>20312060</v>
      </c>
      <c r="C61" s="55" t="s">
        <v>40</v>
      </c>
      <c r="D61" s="56">
        <v>7000</v>
      </c>
      <c r="E61" s="50">
        <f t="shared" si="13"/>
        <v>0</v>
      </c>
      <c r="F61" s="19">
        <f t="shared" si="14"/>
        <v>0</v>
      </c>
      <c r="G61" s="61"/>
      <c r="H61" s="70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  <c r="AF61" s="71"/>
      <c r="AG61" s="71"/>
      <c r="AH61" s="71"/>
      <c r="AI61" s="71"/>
      <c r="AJ61" s="71"/>
      <c r="AK61" s="71"/>
      <c r="AL61" s="72"/>
    </row>
    <row r="62" spans="2:38" ht="20.100000000000001" customHeight="1" x14ac:dyDescent="0.2">
      <c r="B62" s="139" t="s">
        <v>8</v>
      </c>
      <c r="C62" s="140"/>
      <c r="D62" s="137">
        <f>SUM(D48:D50,D52:D57)+D51*2</f>
        <v>61500</v>
      </c>
      <c r="E62" s="125">
        <f t="shared" ref="E62:AL62" si="15">SUM(E48:E61)</f>
        <v>93500</v>
      </c>
      <c r="F62" s="22">
        <f>SUM(F48:F61)</f>
        <v>17</v>
      </c>
      <c r="G62" s="23">
        <f>SUM(G48:G61)</f>
        <v>6</v>
      </c>
      <c r="H62" s="23">
        <f t="shared" si="15"/>
        <v>0</v>
      </c>
      <c r="I62" s="23">
        <f t="shared" si="15"/>
        <v>0</v>
      </c>
      <c r="J62" s="23">
        <f t="shared" si="15"/>
        <v>6</v>
      </c>
      <c r="K62" s="23">
        <f t="shared" si="15"/>
        <v>0</v>
      </c>
      <c r="L62" s="23">
        <f t="shared" si="15"/>
        <v>0</v>
      </c>
      <c r="M62" s="23">
        <f t="shared" si="15"/>
        <v>0</v>
      </c>
      <c r="N62" s="23">
        <f t="shared" si="15"/>
        <v>0</v>
      </c>
      <c r="O62" s="23">
        <f t="shared" si="15"/>
        <v>0</v>
      </c>
      <c r="P62" s="23">
        <f t="shared" si="15"/>
        <v>0</v>
      </c>
      <c r="Q62" s="23">
        <f t="shared" si="15"/>
        <v>0</v>
      </c>
      <c r="R62" s="23">
        <f t="shared" si="15"/>
        <v>0</v>
      </c>
      <c r="S62" s="23">
        <f t="shared" si="15"/>
        <v>0</v>
      </c>
      <c r="T62" s="23">
        <f t="shared" si="15"/>
        <v>0</v>
      </c>
      <c r="U62" s="23">
        <f t="shared" si="15"/>
        <v>0</v>
      </c>
      <c r="V62" s="23">
        <f t="shared" si="15"/>
        <v>5</v>
      </c>
      <c r="W62" s="23">
        <f t="shared" si="15"/>
        <v>0</v>
      </c>
      <c r="X62" s="24">
        <f t="shared" si="15"/>
        <v>0</v>
      </c>
      <c r="Y62" s="23">
        <f t="shared" si="15"/>
        <v>0</v>
      </c>
      <c r="Z62" s="23">
        <f t="shared" si="15"/>
        <v>0</v>
      </c>
      <c r="AA62" s="23">
        <f t="shared" si="15"/>
        <v>0</v>
      </c>
      <c r="AB62" s="23">
        <f t="shared" si="15"/>
        <v>0</v>
      </c>
      <c r="AC62" s="23">
        <f t="shared" si="15"/>
        <v>0</v>
      </c>
      <c r="AD62" s="23">
        <f t="shared" si="15"/>
        <v>0</v>
      </c>
      <c r="AE62" s="23">
        <f t="shared" si="15"/>
        <v>0</v>
      </c>
      <c r="AF62" s="23">
        <f t="shared" si="15"/>
        <v>0</v>
      </c>
      <c r="AG62" s="23">
        <f t="shared" si="15"/>
        <v>0</v>
      </c>
      <c r="AH62" s="23">
        <f t="shared" si="15"/>
        <v>0</v>
      </c>
      <c r="AI62" s="23">
        <f t="shared" si="15"/>
        <v>0</v>
      </c>
      <c r="AJ62" s="23">
        <f t="shared" si="15"/>
        <v>0</v>
      </c>
      <c r="AK62" s="23">
        <f t="shared" si="15"/>
        <v>0</v>
      </c>
      <c r="AL62" s="25">
        <f t="shared" si="15"/>
        <v>0</v>
      </c>
    </row>
    <row r="63" spans="2:38" ht="20.100000000000001" customHeight="1" x14ac:dyDescent="0.2">
      <c r="B63" s="141"/>
      <c r="C63" s="142"/>
      <c r="D63" s="138"/>
      <c r="E63" s="126"/>
      <c r="F63" s="26">
        <f>$D48*F48+$D49*F49+$D50*F50+$D51*F51+$D52*F52+$D53*F53+$D54*F54+$D55*F55+$D56*F56+$D57*F57+$D58*F58+$D59*F59+$D60*F60+$D61*F61</f>
        <v>93500</v>
      </c>
      <c r="G63" s="27">
        <f>$D48*G48+$D49*G49+$D50*G50+$D51*G51+$D52*G52+$D53*G53+$D54*G54+$D55*G55+$D56*G56+$D57*G57+$D58*G58+$D59*G59+$D60*G60+$D61*G61</f>
        <v>33000</v>
      </c>
      <c r="H63" s="27">
        <f t="shared" ref="H63:AL63" si="16">$D48*H48+$D49*H49+$D50*H50+$D51*H51+$D52*H52+$D53*H53+$D54*H54+$D55*H55+$D56*H56+$D57*H57+$D58*H58+$D59*H59+$D60*H60+$D61*H61</f>
        <v>0</v>
      </c>
      <c r="I63" s="28">
        <f t="shared" si="16"/>
        <v>0</v>
      </c>
      <c r="J63" s="28">
        <f t="shared" si="16"/>
        <v>33000</v>
      </c>
      <c r="K63" s="28">
        <f t="shared" si="16"/>
        <v>0</v>
      </c>
      <c r="L63" s="28">
        <f t="shared" si="16"/>
        <v>0</v>
      </c>
      <c r="M63" s="28">
        <f t="shared" si="16"/>
        <v>0</v>
      </c>
      <c r="N63" s="28">
        <f t="shared" si="16"/>
        <v>0</v>
      </c>
      <c r="O63" s="28">
        <f t="shared" si="16"/>
        <v>0</v>
      </c>
      <c r="P63" s="28">
        <f t="shared" si="16"/>
        <v>0</v>
      </c>
      <c r="Q63" s="28">
        <f t="shared" si="16"/>
        <v>0</v>
      </c>
      <c r="R63" s="28">
        <f t="shared" si="16"/>
        <v>0</v>
      </c>
      <c r="S63" s="28">
        <f t="shared" si="16"/>
        <v>0</v>
      </c>
      <c r="T63" s="28">
        <f t="shared" si="16"/>
        <v>0</v>
      </c>
      <c r="U63" s="28">
        <f t="shared" si="16"/>
        <v>0</v>
      </c>
      <c r="V63" s="28">
        <f t="shared" si="16"/>
        <v>27500</v>
      </c>
      <c r="W63" s="28">
        <f t="shared" si="16"/>
        <v>0</v>
      </c>
      <c r="X63" s="28">
        <f t="shared" si="16"/>
        <v>0</v>
      </c>
      <c r="Y63" s="28">
        <f t="shared" si="16"/>
        <v>0</v>
      </c>
      <c r="Z63" s="28">
        <f t="shared" si="16"/>
        <v>0</v>
      </c>
      <c r="AA63" s="28">
        <f t="shared" si="16"/>
        <v>0</v>
      </c>
      <c r="AB63" s="28">
        <f t="shared" si="16"/>
        <v>0</v>
      </c>
      <c r="AC63" s="28">
        <f t="shared" si="16"/>
        <v>0</v>
      </c>
      <c r="AD63" s="28">
        <f t="shared" si="16"/>
        <v>0</v>
      </c>
      <c r="AE63" s="28">
        <f t="shared" si="16"/>
        <v>0</v>
      </c>
      <c r="AF63" s="28">
        <f t="shared" si="16"/>
        <v>0</v>
      </c>
      <c r="AG63" s="28">
        <f t="shared" si="16"/>
        <v>0</v>
      </c>
      <c r="AH63" s="28">
        <f t="shared" si="16"/>
        <v>0</v>
      </c>
      <c r="AI63" s="28">
        <f t="shared" si="16"/>
        <v>0</v>
      </c>
      <c r="AJ63" s="28">
        <f t="shared" si="16"/>
        <v>0</v>
      </c>
      <c r="AK63" s="28">
        <f t="shared" si="16"/>
        <v>0</v>
      </c>
      <c r="AL63" s="29">
        <f t="shared" si="16"/>
        <v>0</v>
      </c>
    </row>
    <row r="65" spans="2:38" ht="16.5" x14ac:dyDescent="0.2">
      <c r="B65" s="122" t="s">
        <v>74</v>
      </c>
      <c r="C65" s="122"/>
      <c r="D65" s="122"/>
      <c r="E65" s="122"/>
      <c r="F65" s="122"/>
    </row>
    <row r="67" spans="2:38" ht="19.5" customHeight="1" x14ac:dyDescent="0.2">
      <c r="B67" s="131" t="s">
        <v>2</v>
      </c>
      <c r="C67" s="133" t="s">
        <v>3</v>
      </c>
      <c r="D67" s="135" t="s">
        <v>4</v>
      </c>
      <c r="E67" s="127" t="s">
        <v>9</v>
      </c>
      <c r="F67" s="91"/>
      <c r="G67" s="120" t="s">
        <v>7</v>
      </c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20"/>
      <c r="AB67" s="120"/>
      <c r="AC67" s="120"/>
      <c r="AD67" s="120"/>
      <c r="AE67" s="120"/>
      <c r="AF67" s="120"/>
      <c r="AG67" s="120"/>
      <c r="AH67" s="120"/>
      <c r="AI67" s="120"/>
      <c r="AJ67" s="120"/>
      <c r="AK67" s="121"/>
      <c r="AL67" s="1"/>
    </row>
    <row r="68" spans="2:38" ht="19.5" customHeight="1" x14ac:dyDescent="0.2">
      <c r="B68" s="132"/>
      <c r="C68" s="134"/>
      <c r="D68" s="136"/>
      <c r="E68" s="143"/>
      <c r="F68" s="92">
        <f>G26</f>
        <v>31</v>
      </c>
      <c r="G68" s="6">
        <v>1</v>
      </c>
      <c r="H68" s="7">
        <v>2</v>
      </c>
      <c r="I68" s="7">
        <v>3</v>
      </c>
      <c r="J68" s="7">
        <v>4</v>
      </c>
      <c r="K68" s="7">
        <v>5</v>
      </c>
      <c r="L68" s="7">
        <v>6</v>
      </c>
      <c r="M68" s="7">
        <v>7</v>
      </c>
      <c r="N68" s="7">
        <v>8</v>
      </c>
      <c r="O68" s="7">
        <v>9</v>
      </c>
      <c r="P68" s="7">
        <v>10</v>
      </c>
      <c r="Q68" s="7">
        <v>11</v>
      </c>
      <c r="R68" s="7">
        <v>12</v>
      </c>
      <c r="S68" s="7">
        <v>13</v>
      </c>
      <c r="T68" s="7">
        <v>14</v>
      </c>
      <c r="U68" s="7">
        <v>15</v>
      </c>
      <c r="V68" s="7">
        <v>16</v>
      </c>
      <c r="W68" s="7">
        <v>17</v>
      </c>
      <c r="X68" s="7">
        <v>18</v>
      </c>
      <c r="Y68" s="7">
        <v>19</v>
      </c>
      <c r="Z68" s="7">
        <v>20</v>
      </c>
      <c r="AA68" s="7">
        <v>21</v>
      </c>
      <c r="AB68" s="7">
        <v>22</v>
      </c>
      <c r="AC68" s="7">
        <v>23</v>
      </c>
      <c r="AD68" s="7">
        <v>24</v>
      </c>
      <c r="AE68" s="7">
        <v>25</v>
      </c>
      <c r="AF68" s="7">
        <v>26</v>
      </c>
      <c r="AG68" s="7">
        <v>27</v>
      </c>
      <c r="AH68" s="7">
        <v>28</v>
      </c>
      <c r="AI68" s="7">
        <v>29</v>
      </c>
      <c r="AJ68" s="8">
        <v>30</v>
      </c>
      <c r="AK68" s="9">
        <v>31</v>
      </c>
      <c r="AL68" s="1"/>
    </row>
    <row r="69" spans="2:38" ht="19.5" customHeight="1" x14ac:dyDescent="0.2">
      <c r="B69" s="10">
        <v>10553408</v>
      </c>
      <c r="C69" s="52" t="s">
        <v>27</v>
      </c>
      <c r="D69" s="11">
        <v>6000</v>
      </c>
      <c r="E69" s="13">
        <f t="shared" ref="E69:E82" si="17">SUM(F69:AK69)</f>
        <v>215</v>
      </c>
      <c r="F69" s="39">
        <v>10</v>
      </c>
      <c r="G69" s="66">
        <v>10</v>
      </c>
      <c r="H69" s="67">
        <v>10</v>
      </c>
      <c r="I69" s="67">
        <v>10</v>
      </c>
      <c r="J69" s="67">
        <v>15</v>
      </c>
      <c r="K69" s="67">
        <v>10</v>
      </c>
      <c r="L69" s="67">
        <v>10</v>
      </c>
      <c r="M69" s="67">
        <v>10</v>
      </c>
      <c r="N69" s="67">
        <v>10</v>
      </c>
      <c r="O69" s="67">
        <v>10</v>
      </c>
      <c r="P69" s="67">
        <v>10</v>
      </c>
      <c r="Q69" s="67">
        <v>15</v>
      </c>
      <c r="R69" s="67">
        <v>10</v>
      </c>
      <c r="S69" s="67">
        <v>10</v>
      </c>
      <c r="T69" s="67">
        <v>10</v>
      </c>
      <c r="U69" s="67">
        <v>10</v>
      </c>
      <c r="V69" s="67">
        <v>10</v>
      </c>
      <c r="W69" s="67">
        <v>10</v>
      </c>
      <c r="X69" s="67">
        <v>15</v>
      </c>
      <c r="Y69" s="67">
        <v>10</v>
      </c>
      <c r="Z69" s="67"/>
      <c r="AA69" s="67"/>
      <c r="AB69" s="67"/>
      <c r="AC69" s="67"/>
      <c r="AD69" s="67"/>
      <c r="AE69" s="67"/>
      <c r="AF69" s="67"/>
      <c r="AG69" s="67"/>
      <c r="AH69" s="67"/>
      <c r="AI69" s="67"/>
      <c r="AJ69" s="67"/>
      <c r="AK69" s="68"/>
      <c r="AL69" s="1"/>
    </row>
    <row r="70" spans="2:38" ht="19.5" customHeight="1" x14ac:dyDescent="0.2">
      <c r="B70" s="16">
        <v>10553612</v>
      </c>
      <c r="C70" s="53" t="s">
        <v>28</v>
      </c>
      <c r="D70" s="17">
        <v>6500</v>
      </c>
      <c r="E70" s="19">
        <f t="shared" si="17"/>
        <v>215</v>
      </c>
      <c r="F70" s="67">
        <v>10</v>
      </c>
      <c r="G70" s="67">
        <v>10</v>
      </c>
      <c r="H70" s="67">
        <v>10</v>
      </c>
      <c r="I70" s="67">
        <v>10</v>
      </c>
      <c r="J70" s="67">
        <v>15</v>
      </c>
      <c r="K70" s="67">
        <v>10</v>
      </c>
      <c r="L70" s="67">
        <v>10</v>
      </c>
      <c r="M70" s="67">
        <v>10</v>
      </c>
      <c r="N70" s="67">
        <v>10</v>
      </c>
      <c r="O70" s="67">
        <v>10</v>
      </c>
      <c r="P70" s="67">
        <v>10</v>
      </c>
      <c r="Q70" s="67">
        <v>15</v>
      </c>
      <c r="R70" s="67">
        <v>10</v>
      </c>
      <c r="S70" s="67">
        <v>10</v>
      </c>
      <c r="T70" s="67">
        <v>10</v>
      </c>
      <c r="U70" s="67">
        <v>10</v>
      </c>
      <c r="V70" s="67">
        <v>10</v>
      </c>
      <c r="W70" s="67">
        <v>10</v>
      </c>
      <c r="X70" s="67">
        <v>15</v>
      </c>
      <c r="Y70" s="67">
        <v>10</v>
      </c>
      <c r="Z70" s="43"/>
      <c r="AA70" s="43"/>
      <c r="AB70" s="43"/>
      <c r="AC70" s="43"/>
      <c r="AD70" s="43"/>
      <c r="AE70" s="43"/>
      <c r="AF70" s="43"/>
      <c r="AG70" s="43"/>
      <c r="AH70" s="43"/>
      <c r="AI70" s="43"/>
      <c r="AJ70" s="43"/>
      <c r="AK70" s="44"/>
      <c r="AL70" s="1"/>
    </row>
    <row r="71" spans="2:38" ht="19.5" customHeight="1" x14ac:dyDescent="0.2">
      <c r="B71" s="16">
        <v>10553613</v>
      </c>
      <c r="C71" s="53" t="s">
        <v>29</v>
      </c>
      <c r="D71" s="17">
        <v>7000</v>
      </c>
      <c r="E71" s="19">
        <f t="shared" si="17"/>
        <v>215</v>
      </c>
      <c r="F71" s="67">
        <v>10</v>
      </c>
      <c r="G71" s="67">
        <v>10</v>
      </c>
      <c r="H71" s="67">
        <v>10</v>
      </c>
      <c r="I71" s="67">
        <v>10</v>
      </c>
      <c r="J71" s="67">
        <v>15</v>
      </c>
      <c r="K71" s="67">
        <v>10</v>
      </c>
      <c r="L71" s="67">
        <v>10</v>
      </c>
      <c r="M71" s="67">
        <v>10</v>
      </c>
      <c r="N71" s="67">
        <v>10</v>
      </c>
      <c r="O71" s="67">
        <v>10</v>
      </c>
      <c r="P71" s="67">
        <v>10</v>
      </c>
      <c r="Q71" s="67">
        <v>15</v>
      </c>
      <c r="R71" s="67">
        <v>10</v>
      </c>
      <c r="S71" s="67">
        <v>10</v>
      </c>
      <c r="T71" s="67">
        <v>10</v>
      </c>
      <c r="U71" s="67">
        <v>10</v>
      </c>
      <c r="V71" s="67">
        <v>10</v>
      </c>
      <c r="W71" s="67">
        <v>10</v>
      </c>
      <c r="X71" s="67">
        <v>15</v>
      </c>
      <c r="Y71" s="67">
        <v>10</v>
      </c>
      <c r="Z71" s="43"/>
      <c r="AA71" s="43"/>
      <c r="AB71" s="43"/>
      <c r="AC71" s="43"/>
      <c r="AD71" s="43"/>
      <c r="AE71" s="43"/>
      <c r="AF71" s="43"/>
      <c r="AG71" s="43"/>
      <c r="AH71" s="43"/>
      <c r="AI71" s="43"/>
      <c r="AJ71" s="43"/>
      <c r="AK71" s="44"/>
      <c r="AL71" s="1"/>
    </row>
    <row r="72" spans="2:38" ht="19.5" customHeight="1" x14ac:dyDescent="0.2">
      <c r="B72" s="16">
        <v>12412003</v>
      </c>
      <c r="C72" s="53" t="s">
        <v>30</v>
      </c>
      <c r="D72" s="17">
        <v>5500</v>
      </c>
      <c r="E72" s="19">
        <f t="shared" si="17"/>
        <v>400</v>
      </c>
      <c r="F72" s="42">
        <v>20</v>
      </c>
      <c r="G72" s="69">
        <v>20</v>
      </c>
      <c r="H72" s="43">
        <v>20</v>
      </c>
      <c r="I72" s="43">
        <v>20</v>
      </c>
      <c r="J72" s="43">
        <v>20</v>
      </c>
      <c r="K72" s="43">
        <v>20</v>
      </c>
      <c r="L72" s="43">
        <v>20</v>
      </c>
      <c r="M72" s="43">
        <v>20</v>
      </c>
      <c r="N72" s="43">
        <v>20</v>
      </c>
      <c r="O72" s="43">
        <v>20</v>
      </c>
      <c r="P72" s="43">
        <v>20</v>
      </c>
      <c r="Q72" s="43">
        <v>20</v>
      </c>
      <c r="R72" s="43">
        <v>20</v>
      </c>
      <c r="S72" s="43">
        <v>20</v>
      </c>
      <c r="T72" s="43">
        <v>20</v>
      </c>
      <c r="U72" s="43">
        <v>20</v>
      </c>
      <c r="V72" s="43">
        <v>20</v>
      </c>
      <c r="W72" s="43">
        <v>20</v>
      </c>
      <c r="X72" s="43">
        <v>20</v>
      </c>
      <c r="Y72" s="43">
        <v>20</v>
      </c>
      <c r="Z72" s="43"/>
      <c r="AA72" s="43"/>
      <c r="AB72" s="43"/>
      <c r="AC72" s="43"/>
      <c r="AD72" s="43"/>
      <c r="AE72" s="43"/>
      <c r="AF72" s="43"/>
      <c r="AG72" s="43"/>
      <c r="AH72" s="43"/>
      <c r="AI72" s="43"/>
      <c r="AJ72" s="43"/>
      <c r="AK72" s="44"/>
      <c r="AL72" s="1"/>
    </row>
    <row r="73" spans="2:38" ht="19.5" customHeight="1" x14ac:dyDescent="0.2">
      <c r="B73" s="16">
        <v>12412022</v>
      </c>
      <c r="C73" s="53" t="s">
        <v>31</v>
      </c>
      <c r="D73" s="17">
        <v>4000</v>
      </c>
      <c r="E73" s="19">
        <f t="shared" si="17"/>
        <v>215</v>
      </c>
      <c r="F73" s="67">
        <v>10</v>
      </c>
      <c r="G73" s="67">
        <v>10</v>
      </c>
      <c r="H73" s="67">
        <v>10</v>
      </c>
      <c r="I73" s="67">
        <v>10</v>
      </c>
      <c r="J73" s="67">
        <v>15</v>
      </c>
      <c r="K73" s="67">
        <v>10</v>
      </c>
      <c r="L73" s="67">
        <v>10</v>
      </c>
      <c r="M73" s="67">
        <v>10</v>
      </c>
      <c r="N73" s="67">
        <v>10</v>
      </c>
      <c r="O73" s="67">
        <v>10</v>
      </c>
      <c r="P73" s="67">
        <v>10</v>
      </c>
      <c r="Q73" s="67">
        <v>15</v>
      </c>
      <c r="R73" s="67">
        <v>10</v>
      </c>
      <c r="S73" s="67">
        <v>10</v>
      </c>
      <c r="T73" s="67">
        <v>10</v>
      </c>
      <c r="U73" s="67">
        <v>10</v>
      </c>
      <c r="V73" s="67">
        <v>10</v>
      </c>
      <c r="W73" s="67">
        <v>10</v>
      </c>
      <c r="X73" s="67">
        <v>15</v>
      </c>
      <c r="Y73" s="67">
        <v>10</v>
      </c>
      <c r="Z73" s="43"/>
      <c r="AA73" s="43"/>
      <c r="AB73" s="43"/>
      <c r="AC73" s="43"/>
      <c r="AD73" s="43"/>
      <c r="AE73" s="43"/>
      <c r="AF73" s="43"/>
      <c r="AG73" s="43"/>
      <c r="AH73" s="43"/>
      <c r="AI73" s="43"/>
      <c r="AJ73" s="43"/>
      <c r="AK73" s="44"/>
      <c r="AL73" s="1"/>
    </row>
    <row r="74" spans="2:38" ht="19.5" customHeight="1" x14ac:dyDescent="0.2">
      <c r="B74" s="16">
        <v>12412023</v>
      </c>
      <c r="C74" s="53" t="s">
        <v>32</v>
      </c>
      <c r="D74" s="17">
        <v>4000</v>
      </c>
      <c r="E74" s="19">
        <f t="shared" si="17"/>
        <v>215</v>
      </c>
      <c r="F74" s="67">
        <v>10</v>
      </c>
      <c r="G74" s="67">
        <v>10</v>
      </c>
      <c r="H74" s="67">
        <v>10</v>
      </c>
      <c r="I74" s="67">
        <v>10</v>
      </c>
      <c r="J74" s="67">
        <v>15</v>
      </c>
      <c r="K74" s="67">
        <v>10</v>
      </c>
      <c r="L74" s="67">
        <v>10</v>
      </c>
      <c r="M74" s="67">
        <v>10</v>
      </c>
      <c r="N74" s="67">
        <v>10</v>
      </c>
      <c r="O74" s="67">
        <v>10</v>
      </c>
      <c r="P74" s="67">
        <v>10</v>
      </c>
      <c r="Q74" s="67">
        <v>15</v>
      </c>
      <c r="R74" s="67">
        <v>10</v>
      </c>
      <c r="S74" s="67">
        <v>10</v>
      </c>
      <c r="T74" s="67">
        <v>10</v>
      </c>
      <c r="U74" s="67">
        <v>10</v>
      </c>
      <c r="V74" s="67">
        <v>10</v>
      </c>
      <c r="W74" s="67">
        <v>10</v>
      </c>
      <c r="X74" s="67">
        <v>15</v>
      </c>
      <c r="Y74" s="67">
        <v>10</v>
      </c>
      <c r="Z74" s="43"/>
      <c r="AA74" s="43"/>
      <c r="AB74" s="43"/>
      <c r="AC74" s="43"/>
      <c r="AD74" s="43"/>
      <c r="AE74" s="43"/>
      <c r="AF74" s="43"/>
      <c r="AG74" s="43"/>
      <c r="AH74" s="43"/>
      <c r="AI74" s="43"/>
      <c r="AJ74" s="43"/>
      <c r="AK74" s="44"/>
      <c r="AL74" s="1"/>
    </row>
    <row r="75" spans="2:38" ht="19.5" customHeight="1" x14ac:dyDescent="0.2">
      <c r="B75" s="16">
        <v>12412026</v>
      </c>
      <c r="C75" s="53" t="s">
        <v>33</v>
      </c>
      <c r="D75" s="17">
        <v>4000</v>
      </c>
      <c r="E75" s="19">
        <f t="shared" si="17"/>
        <v>215</v>
      </c>
      <c r="F75" s="67">
        <v>10</v>
      </c>
      <c r="G75" s="67">
        <v>10</v>
      </c>
      <c r="H75" s="67">
        <v>10</v>
      </c>
      <c r="I75" s="67">
        <v>10</v>
      </c>
      <c r="J75" s="67">
        <v>15</v>
      </c>
      <c r="K75" s="67">
        <v>10</v>
      </c>
      <c r="L75" s="67">
        <v>10</v>
      </c>
      <c r="M75" s="67">
        <v>10</v>
      </c>
      <c r="N75" s="67">
        <v>10</v>
      </c>
      <c r="O75" s="67">
        <v>10</v>
      </c>
      <c r="P75" s="67">
        <v>10</v>
      </c>
      <c r="Q75" s="67">
        <v>15</v>
      </c>
      <c r="R75" s="67">
        <v>10</v>
      </c>
      <c r="S75" s="67">
        <v>10</v>
      </c>
      <c r="T75" s="67">
        <v>10</v>
      </c>
      <c r="U75" s="67">
        <v>10</v>
      </c>
      <c r="V75" s="67">
        <v>10</v>
      </c>
      <c r="W75" s="67">
        <v>10</v>
      </c>
      <c r="X75" s="67">
        <v>15</v>
      </c>
      <c r="Y75" s="67">
        <v>10</v>
      </c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4"/>
      <c r="AL75" s="1"/>
    </row>
    <row r="76" spans="2:38" ht="19.5" customHeight="1" x14ac:dyDescent="0.2">
      <c r="B76" s="16">
        <v>12412239</v>
      </c>
      <c r="C76" s="53" t="s">
        <v>34</v>
      </c>
      <c r="D76" s="17">
        <v>5000</v>
      </c>
      <c r="E76" s="19">
        <f t="shared" si="17"/>
        <v>215</v>
      </c>
      <c r="F76" s="67">
        <v>10</v>
      </c>
      <c r="G76" s="67">
        <v>10</v>
      </c>
      <c r="H76" s="67">
        <v>10</v>
      </c>
      <c r="I76" s="67">
        <v>10</v>
      </c>
      <c r="J76" s="67">
        <v>15</v>
      </c>
      <c r="K76" s="67">
        <v>10</v>
      </c>
      <c r="L76" s="67">
        <v>10</v>
      </c>
      <c r="M76" s="67">
        <v>10</v>
      </c>
      <c r="N76" s="67">
        <v>10</v>
      </c>
      <c r="O76" s="67">
        <v>10</v>
      </c>
      <c r="P76" s="67">
        <v>10</v>
      </c>
      <c r="Q76" s="67">
        <v>15</v>
      </c>
      <c r="R76" s="67">
        <v>10</v>
      </c>
      <c r="S76" s="67">
        <v>10</v>
      </c>
      <c r="T76" s="67">
        <v>10</v>
      </c>
      <c r="U76" s="67">
        <v>10</v>
      </c>
      <c r="V76" s="67">
        <v>10</v>
      </c>
      <c r="W76" s="67">
        <v>10</v>
      </c>
      <c r="X76" s="67">
        <v>15</v>
      </c>
      <c r="Y76" s="67">
        <v>10</v>
      </c>
      <c r="Z76" s="43"/>
      <c r="AA76" s="43"/>
      <c r="AB76" s="43"/>
      <c r="AC76" s="43"/>
      <c r="AD76" s="43"/>
      <c r="AE76" s="43"/>
      <c r="AF76" s="43"/>
      <c r="AG76" s="43"/>
      <c r="AH76" s="43"/>
      <c r="AI76" s="43"/>
      <c r="AJ76" s="43"/>
      <c r="AK76" s="44"/>
      <c r="AL76" s="1"/>
    </row>
    <row r="77" spans="2:38" ht="19.5" customHeight="1" x14ac:dyDescent="0.2">
      <c r="B77" s="16">
        <v>20312001</v>
      </c>
      <c r="C77" s="53" t="s">
        <v>35</v>
      </c>
      <c r="D77" s="17">
        <v>7000</v>
      </c>
      <c r="E77" s="19">
        <f t="shared" si="17"/>
        <v>215</v>
      </c>
      <c r="F77" s="67">
        <v>10</v>
      </c>
      <c r="G77" s="67">
        <v>10</v>
      </c>
      <c r="H77" s="67">
        <v>10</v>
      </c>
      <c r="I77" s="67">
        <v>10</v>
      </c>
      <c r="J77" s="67">
        <v>15</v>
      </c>
      <c r="K77" s="67">
        <v>10</v>
      </c>
      <c r="L77" s="67">
        <v>10</v>
      </c>
      <c r="M77" s="67">
        <v>10</v>
      </c>
      <c r="N77" s="67">
        <v>10</v>
      </c>
      <c r="O77" s="67">
        <v>10</v>
      </c>
      <c r="P77" s="67">
        <v>10</v>
      </c>
      <c r="Q77" s="67">
        <v>15</v>
      </c>
      <c r="R77" s="67">
        <v>10</v>
      </c>
      <c r="S77" s="67">
        <v>10</v>
      </c>
      <c r="T77" s="67">
        <v>10</v>
      </c>
      <c r="U77" s="67">
        <v>10</v>
      </c>
      <c r="V77" s="67">
        <v>10</v>
      </c>
      <c r="W77" s="67">
        <v>10</v>
      </c>
      <c r="X77" s="67">
        <v>15</v>
      </c>
      <c r="Y77" s="67">
        <v>10</v>
      </c>
      <c r="Z77" s="43"/>
      <c r="AA77" s="43"/>
      <c r="AB77" s="43"/>
      <c r="AC77" s="43"/>
      <c r="AD77" s="43"/>
      <c r="AE77" s="43"/>
      <c r="AF77" s="43"/>
      <c r="AG77" s="43"/>
      <c r="AH77" s="43"/>
      <c r="AI77" s="43"/>
      <c r="AJ77" s="43"/>
      <c r="AK77" s="44"/>
      <c r="AL77" s="1"/>
    </row>
    <row r="78" spans="2:38" ht="19.5" customHeight="1" x14ac:dyDescent="0.2">
      <c r="B78" s="16">
        <v>20312002</v>
      </c>
      <c r="C78" s="53" t="s">
        <v>36</v>
      </c>
      <c r="D78" s="17">
        <v>7000</v>
      </c>
      <c r="E78" s="19">
        <f t="shared" si="17"/>
        <v>215</v>
      </c>
      <c r="F78" s="67">
        <v>10</v>
      </c>
      <c r="G78" s="67">
        <v>10</v>
      </c>
      <c r="H78" s="67">
        <v>10</v>
      </c>
      <c r="I78" s="67">
        <v>10</v>
      </c>
      <c r="J78" s="67">
        <v>15</v>
      </c>
      <c r="K78" s="67">
        <v>10</v>
      </c>
      <c r="L78" s="67">
        <v>10</v>
      </c>
      <c r="M78" s="67">
        <v>10</v>
      </c>
      <c r="N78" s="67">
        <v>10</v>
      </c>
      <c r="O78" s="67">
        <v>10</v>
      </c>
      <c r="P78" s="67">
        <v>10</v>
      </c>
      <c r="Q78" s="67">
        <v>15</v>
      </c>
      <c r="R78" s="67">
        <v>10</v>
      </c>
      <c r="S78" s="67">
        <v>10</v>
      </c>
      <c r="T78" s="67">
        <v>10</v>
      </c>
      <c r="U78" s="67">
        <v>10</v>
      </c>
      <c r="V78" s="67">
        <v>10</v>
      </c>
      <c r="W78" s="67">
        <v>10</v>
      </c>
      <c r="X78" s="67">
        <v>15</v>
      </c>
      <c r="Y78" s="67">
        <v>10</v>
      </c>
      <c r="Z78" s="43"/>
      <c r="AA78" s="43"/>
      <c r="AB78" s="43"/>
      <c r="AC78" s="43"/>
      <c r="AD78" s="43"/>
      <c r="AE78" s="43"/>
      <c r="AF78" s="43"/>
      <c r="AG78" s="43"/>
      <c r="AH78" s="43"/>
      <c r="AI78" s="43"/>
      <c r="AJ78" s="43"/>
      <c r="AK78" s="44"/>
      <c r="AL78" s="1"/>
    </row>
    <row r="79" spans="2:38" ht="19.5" customHeight="1" x14ac:dyDescent="0.2">
      <c r="B79" s="103">
        <v>20312057</v>
      </c>
      <c r="C79" s="104" t="s">
        <v>37</v>
      </c>
      <c r="D79" s="105">
        <v>7000</v>
      </c>
      <c r="E79" s="106">
        <f t="shared" si="17"/>
        <v>0</v>
      </c>
      <c r="F79" s="107"/>
      <c r="G79" s="108"/>
      <c r="H79" s="109"/>
      <c r="I79" s="109"/>
      <c r="J79" s="109"/>
      <c r="K79" s="109"/>
      <c r="L79" s="109"/>
      <c r="M79" s="109"/>
      <c r="N79" s="109"/>
      <c r="O79" s="109"/>
      <c r="P79" s="109"/>
      <c r="Q79" s="109"/>
      <c r="R79" s="109"/>
      <c r="S79" s="109"/>
      <c r="T79" s="109"/>
      <c r="U79" s="109"/>
      <c r="V79" s="109"/>
      <c r="W79" s="109"/>
      <c r="X79" s="109"/>
      <c r="Y79" s="109"/>
      <c r="Z79" s="109"/>
      <c r="AA79" s="109"/>
      <c r="AB79" s="109"/>
      <c r="AC79" s="109"/>
      <c r="AD79" s="109"/>
      <c r="AE79" s="109"/>
      <c r="AF79" s="109"/>
      <c r="AG79" s="109"/>
      <c r="AH79" s="109"/>
      <c r="AI79" s="109"/>
      <c r="AJ79" s="109"/>
      <c r="AK79" s="110"/>
      <c r="AL79" s="1"/>
    </row>
    <row r="80" spans="2:38" ht="19.5" customHeight="1" x14ac:dyDescent="0.2">
      <c r="B80" s="103">
        <v>20312058</v>
      </c>
      <c r="C80" s="104" t="s">
        <v>38</v>
      </c>
      <c r="D80" s="105">
        <v>7000</v>
      </c>
      <c r="E80" s="106">
        <f t="shared" si="17"/>
        <v>0</v>
      </c>
      <c r="F80" s="107"/>
      <c r="G80" s="108"/>
      <c r="H80" s="109"/>
      <c r="I80" s="109"/>
      <c r="J80" s="109"/>
      <c r="K80" s="109"/>
      <c r="L80" s="109"/>
      <c r="M80" s="109"/>
      <c r="N80" s="109"/>
      <c r="O80" s="109"/>
      <c r="P80" s="109"/>
      <c r="Q80" s="109"/>
      <c r="R80" s="109"/>
      <c r="S80" s="109"/>
      <c r="T80" s="109"/>
      <c r="U80" s="109"/>
      <c r="V80" s="109"/>
      <c r="W80" s="109"/>
      <c r="X80" s="109"/>
      <c r="Y80" s="109"/>
      <c r="Z80" s="109"/>
      <c r="AA80" s="109"/>
      <c r="AB80" s="109"/>
      <c r="AC80" s="109"/>
      <c r="AD80" s="109"/>
      <c r="AE80" s="109"/>
      <c r="AF80" s="109"/>
      <c r="AG80" s="109"/>
      <c r="AH80" s="109"/>
      <c r="AI80" s="109"/>
      <c r="AJ80" s="109"/>
      <c r="AK80" s="110"/>
      <c r="AL80" s="1"/>
    </row>
    <row r="81" spans="2:38" ht="19.5" customHeight="1" x14ac:dyDescent="0.2">
      <c r="B81" s="103">
        <v>20312059</v>
      </c>
      <c r="C81" s="104" t="s">
        <v>39</v>
      </c>
      <c r="D81" s="105">
        <v>7000</v>
      </c>
      <c r="E81" s="106">
        <f t="shared" si="17"/>
        <v>0</v>
      </c>
      <c r="F81" s="107"/>
      <c r="G81" s="108"/>
      <c r="H81" s="109"/>
      <c r="I81" s="109"/>
      <c r="J81" s="109"/>
      <c r="K81" s="109"/>
      <c r="L81" s="109"/>
      <c r="M81" s="109"/>
      <c r="N81" s="109"/>
      <c r="O81" s="109"/>
      <c r="P81" s="109"/>
      <c r="Q81" s="109"/>
      <c r="R81" s="109"/>
      <c r="S81" s="109"/>
      <c r="T81" s="109"/>
      <c r="U81" s="109"/>
      <c r="V81" s="109"/>
      <c r="W81" s="109"/>
      <c r="X81" s="109"/>
      <c r="Y81" s="109"/>
      <c r="Z81" s="109"/>
      <c r="AA81" s="109"/>
      <c r="AB81" s="109"/>
      <c r="AC81" s="109"/>
      <c r="AD81" s="109"/>
      <c r="AE81" s="109"/>
      <c r="AF81" s="109"/>
      <c r="AG81" s="109"/>
      <c r="AH81" s="109"/>
      <c r="AI81" s="109"/>
      <c r="AJ81" s="109"/>
      <c r="AK81" s="110"/>
      <c r="AL81" s="1"/>
    </row>
    <row r="82" spans="2:38" ht="19.5" customHeight="1" x14ac:dyDescent="0.2">
      <c r="B82" s="111">
        <v>20312060</v>
      </c>
      <c r="C82" s="112" t="s">
        <v>40</v>
      </c>
      <c r="D82" s="113">
        <v>7000</v>
      </c>
      <c r="E82" s="114">
        <f t="shared" si="17"/>
        <v>0</v>
      </c>
      <c r="F82" s="115"/>
      <c r="G82" s="116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  <c r="AA82" s="117"/>
      <c r="AB82" s="117"/>
      <c r="AC82" s="117"/>
      <c r="AD82" s="117"/>
      <c r="AE82" s="117"/>
      <c r="AF82" s="117"/>
      <c r="AG82" s="117"/>
      <c r="AH82" s="117"/>
      <c r="AI82" s="117"/>
      <c r="AJ82" s="117"/>
      <c r="AK82" s="118"/>
      <c r="AL82" s="1"/>
    </row>
    <row r="83" spans="2:38" ht="19.5" customHeight="1" x14ac:dyDescent="0.2">
      <c r="B83" s="139" t="s">
        <v>8</v>
      </c>
      <c r="C83" s="140"/>
      <c r="D83" s="137">
        <f>SUM(D69:D71,D73:D78)+D72*2</f>
        <v>61500</v>
      </c>
      <c r="E83" s="22">
        <f t="shared" ref="E83:AK83" si="18">SUM(E69:E82)</f>
        <v>2335</v>
      </c>
      <c r="F83" s="23">
        <f t="shared" si="18"/>
        <v>110</v>
      </c>
      <c r="G83" s="23">
        <f t="shared" si="18"/>
        <v>110</v>
      </c>
      <c r="H83" s="23">
        <f t="shared" si="18"/>
        <v>110</v>
      </c>
      <c r="I83" s="23">
        <f t="shared" si="18"/>
        <v>110</v>
      </c>
      <c r="J83" s="23">
        <f t="shared" si="18"/>
        <v>155</v>
      </c>
      <c r="K83" s="23">
        <f t="shared" si="18"/>
        <v>110</v>
      </c>
      <c r="L83" s="23">
        <f t="shared" si="18"/>
        <v>110</v>
      </c>
      <c r="M83" s="23">
        <f t="shared" si="18"/>
        <v>110</v>
      </c>
      <c r="N83" s="23">
        <f t="shared" si="18"/>
        <v>110</v>
      </c>
      <c r="O83" s="23">
        <f t="shared" si="18"/>
        <v>110</v>
      </c>
      <c r="P83" s="23">
        <f t="shared" si="18"/>
        <v>110</v>
      </c>
      <c r="Q83" s="23">
        <f t="shared" si="18"/>
        <v>155</v>
      </c>
      <c r="R83" s="23">
        <f t="shared" si="18"/>
        <v>110</v>
      </c>
      <c r="S83" s="23">
        <f t="shared" si="18"/>
        <v>110</v>
      </c>
      <c r="T83" s="23">
        <f t="shared" si="18"/>
        <v>110</v>
      </c>
      <c r="U83" s="23">
        <f t="shared" si="18"/>
        <v>110</v>
      </c>
      <c r="V83" s="23">
        <f t="shared" si="18"/>
        <v>110</v>
      </c>
      <c r="W83" s="24">
        <f t="shared" si="18"/>
        <v>110</v>
      </c>
      <c r="X83" s="23">
        <f t="shared" si="18"/>
        <v>155</v>
      </c>
      <c r="Y83" s="23">
        <f t="shared" si="18"/>
        <v>110</v>
      </c>
      <c r="Z83" s="23">
        <f t="shared" si="18"/>
        <v>0</v>
      </c>
      <c r="AA83" s="23">
        <f t="shared" si="18"/>
        <v>0</v>
      </c>
      <c r="AB83" s="23">
        <f t="shared" si="18"/>
        <v>0</v>
      </c>
      <c r="AC83" s="23">
        <f t="shared" si="18"/>
        <v>0</v>
      </c>
      <c r="AD83" s="23">
        <f t="shared" si="18"/>
        <v>0</v>
      </c>
      <c r="AE83" s="23">
        <f t="shared" si="18"/>
        <v>0</v>
      </c>
      <c r="AF83" s="23">
        <f t="shared" si="18"/>
        <v>0</v>
      </c>
      <c r="AG83" s="23">
        <f t="shared" si="18"/>
        <v>0</v>
      </c>
      <c r="AH83" s="23">
        <f t="shared" si="18"/>
        <v>0</v>
      </c>
      <c r="AI83" s="23">
        <f t="shared" si="18"/>
        <v>0</v>
      </c>
      <c r="AJ83" s="23">
        <f t="shared" si="18"/>
        <v>0</v>
      </c>
      <c r="AK83" s="25">
        <f t="shared" si="18"/>
        <v>0</v>
      </c>
      <c r="AL83" s="1"/>
    </row>
    <row r="84" spans="2:38" ht="19.5" hidden="1" customHeight="1" x14ac:dyDescent="0.2">
      <c r="B84" s="141"/>
      <c r="C84" s="142"/>
      <c r="D84" s="138"/>
      <c r="E84" s="26">
        <f t="shared" ref="E84:AK84" si="19">$D69*E69+$D70*E70+$D71*E71+$D72*E72+$D73*E73+$D74*E74+$D75*E75+$D76*E76+$D77*E77+$D78*E78+$D79*E79+$D80*E80+$D81*E81+$D82*E82</f>
        <v>13057500</v>
      </c>
      <c r="F84" s="27">
        <f t="shared" si="19"/>
        <v>615000</v>
      </c>
      <c r="G84" s="27">
        <f t="shared" si="19"/>
        <v>615000</v>
      </c>
      <c r="H84" s="28">
        <f t="shared" si="19"/>
        <v>615000</v>
      </c>
      <c r="I84" s="28">
        <f t="shared" si="19"/>
        <v>615000</v>
      </c>
      <c r="J84" s="28">
        <f t="shared" si="19"/>
        <v>867500</v>
      </c>
      <c r="K84" s="28">
        <f t="shared" si="19"/>
        <v>615000</v>
      </c>
      <c r="L84" s="28">
        <f t="shared" si="19"/>
        <v>615000</v>
      </c>
      <c r="M84" s="28">
        <f t="shared" si="19"/>
        <v>615000</v>
      </c>
      <c r="N84" s="28">
        <f t="shared" si="19"/>
        <v>615000</v>
      </c>
      <c r="O84" s="28">
        <f t="shared" si="19"/>
        <v>615000</v>
      </c>
      <c r="P84" s="28">
        <f t="shared" si="19"/>
        <v>615000</v>
      </c>
      <c r="Q84" s="28">
        <f t="shared" si="19"/>
        <v>867500</v>
      </c>
      <c r="R84" s="28">
        <f t="shared" si="19"/>
        <v>615000</v>
      </c>
      <c r="S84" s="28">
        <f t="shared" si="19"/>
        <v>615000</v>
      </c>
      <c r="T84" s="28">
        <f t="shared" si="19"/>
        <v>615000</v>
      </c>
      <c r="U84" s="28">
        <f t="shared" si="19"/>
        <v>615000</v>
      </c>
      <c r="V84" s="28">
        <f t="shared" si="19"/>
        <v>615000</v>
      </c>
      <c r="W84" s="28">
        <f t="shared" si="19"/>
        <v>615000</v>
      </c>
      <c r="X84" s="28">
        <f t="shared" si="19"/>
        <v>867500</v>
      </c>
      <c r="Y84" s="28">
        <f t="shared" si="19"/>
        <v>615000</v>
      </c>
      <c r="Z84" s="28">
        <f t="shared" si="19"/>
        <v>0</v>
      </c>
      <c r="AA84" s="28">
        <f t="shared" si="19"/>
        <v>0</v>
      </c>
      <c r="AB84" s="28">
        <f t="shared" si="19"/>
        <v>0</v>
      </c>
      <c r="AC84" s="28">
        <f t="shared" si="19"/>
        <v>0</v>
      </c>
      <c r="AD84" s="28">
        <f t="shared" si="19"/>
        <v>0</v>
      </c>
      <c r="AE84" s="28">
        <f t="shared" si="19"/>
        <v>0</v>
      </c>
      <c r="AF84" s="28">
        <f t="shared" si="19"/>
        <v>0</v>
      </c>
      <c r="AG84" s="28">
        <f t="shared" si="19"/>
        <v>0</v>
      </c>
      <c r="AH84" s="28">
        <f t="shared" si="19"/>
        <v>0</v>
      </c>
      <c r="AI84" s="28">
        <f t="shared" si="19"/>
        <v>0</v>
      </c>
      <c r="AJ84" s="28">
        <f t="shared" si="19"/>
        <v>0</v>
      </c>
      <c r="AK84" s="29">
        <f t="shared" si="19"/>
        <v>0</v>
      </c>
      <c r="AL84" s="1"/>
    </row>
  </sheetData>
  <mergeCells count="38">
    <mergeCell ref="G67:AK67"/>
    <mergeCell ref="B83:C84"/>
    <mergeCell ref="D83:D84"/>
    <mergeCell ref="B65:F65"/>
    <mergeCell ref="B67:B68"/>
    <mergeCell ref="C67:C68"/>
    <mergeCell ref="D67:D68"/>
    <mergeCell ref="E67:E68"/>
    <mergeCell ref="B62:C63"/>
    <mergeCell ref="D62:D63"/>
    <mergeCell ref="E62:E63"/>
    <mergeCell ref="B46:B47"/>
    <mergeCell ref="C46:C47"/>
    <mergeCell ref="D46:D47"/>
    <mergeCell ref="E46:E47"/>
    <mergeCell ref="F46:F47"/>
    <mergeCell ref="H46:AL46"/>
    <mergeCell ref="D25:D26"/>
    <mergeCell ref="E25:E26"/>
    <mergeCell ref="F25:F26"/>
    <mergeCell ref="H25:AL25"/>
    <mergeCell ref="B23:F23"/>
    <mergeCell ref="B44:F44"/>
    <mergeCell ref="H4:AL4"/>
    <mergeCell ref="B20:C21"/>
    <mergeCell ref="D20:D21"/>
    <mergeCell ref="E20:E21"/>
    <mergeCell ref="B41:C42"/>
    <mergeCell ref="D41:D42"/>
    <mergeCell ref="E41:E42"/>
    <mergeCell ref="B25:B26"/>
    <mergeCell ref="C25:C26"/>
    <mergeCell ref="B2:F2"/>
    <mergeCell ref="B4:B5"/>
    <mergeCell ref="C4:C5"/>
    <mergeCell ref="D4:D5"/>
    <mergeCell ref="E4:E5"/>
    <mergeCell ref="F4:F5"/>
  </mergeCells>
  <phoneticPr fontId="2" type="noConversion"/>
  <pageMargins left="0.7" right="0.7" top="0.75" bottom="0.75" header="0.3" footer="0.3"/>
  <pageSetup paperSize="9" scale="3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AU21"/>
  <sheetViews>
    <sheetView showGridLines="0" zoomScale="85" zoomScaleNormal="85" workbookViewId="0">
      <pane xSplit="7" ySplit="5" topLeftCell="X6" activePane="bottomRight" state="frozen"/>
      <selection pane="topRight" activeCell="H1" sqref="H1"/>
      <selection pane="bottomLeft" activeCell="A6" sqref="A6"/>
      <selection pane="bottomRight" activeCell="Z10" sqref="Z10"/>
    </sheetView>
  </sheetViews>
  <sheetFormatPr defaultColWidth="9.125" defaultRowHeight="14.25" x14ac:dyDescent="0.2"/>
  <cols>
    <col min="1" max="1" width="0.375" style="1" customWidth="1"/>
    <col min="2" max="2" width="16.875" style="1" bestFit="1" customWidth="1"/>
    <col min="3" max="4" width="13.625" style="1" customWidth="1"/>
    <col min="5" max="5" width="10.625" style="1" hidden="1" customWidth="1"/>
    <col min="6" max="6" width="10.625" style="1" customWidth="1"/>
    <col min="7" max="7" width="10.625" style="3" customWidth="1"/>
    <col min="8" max="22" width="10.625" style="4" customWidth="1"/>
    <col min="23" max="47" width="10.625" style="1" customWidth="1"/>
    <col min="48" max="16384" width="9.125" style="1"/>
  </cols>
  <sheetData>
    <row r="1" spans="2:47" ht="3.75" customHeight="1" x14ac:dyDescent="0.2"/>
    <row r="2" spans="2:47" ht="20.25" x14ac:dyDescent="0.2">
      <c r="B2" s="149" t="s">
        <v>26</v>
      </c>
      <c r="C2" s="149"/>
      <c r="D2" s="149"/>
      <c r="E2" s="149"/>
      <c r="F2" s="149"/>
      <c r="G2" s="149"/>
    </row>
    <row r="3" spans="2:47" ht="4.9000000000000004" customHeight="1" x14ac:dyDescent="0.2"/>
    <row r="4" spans="2:47" s="38" customFormat="1" ht="20.100000000000001" customHeight="1" x14ac:dyDescent="0.2">
      <c r="B4" s="150" t="s">
        <v>3</v>
      </c>
      <c r="C4" s="123" t="s">
        <v>45</v>
      </c>
      <c r="D4" s="153" t="s">
        <v>46</v>
      </c>
      <c r="E4" s="135" t="s">
        <v>4</v>
      </c>
      <c r="F4" s="129" t="s">
        <v>5</v>
      </c>
      <c r="G4" s="32" t="s">
        <v>0</v>
      </c>
      <c r="H4" s="33">
        <v>1</v>
      </c>
      <c r="I4" s="34">
        <v>2</v>
      </c>
      <c r="J4" s="34">
        <v>3</v>
      </c>
      <c r="K4" s="34">
        <v>4</v>
      </c>
      <c r="L4" s="34">
        <v>5</v>
      </c>
      <c r="M4" s="34">
        <v>6</v>
      </c>
      <c r="N4" s="34">
        <v>7</v>
      </c>
      <c r="O4" s="34">
        <v>8</v>
      </c>
      <c r="P4" s="34">
        <v>9</v>
      </c>
      <c r="Q4" s="34">
        <v>10</v>
      </c>
      <c r="R4" s="34">
        <v>11</v>
      </c>
      <c r="S4" s="34">
        <v>12</v>
      </c>
      <c r="T4" s="34">
        <v>13</v>
      </c>
      <c r="U4" s="34">
        <v>14</v>
      </c>
      <c r="V4" s="34">
        <v>15</v>
      </c>
      <c r="W4" s="34">
        <v>16</v>
      </c>
      <c r="X4" s="34">
        <v>17</v>
      </c>
      <c r="Y4" s="33">
        <v>18</v>
      </c>
      <c r="Z4" s="34">
        <v>19</v>
      </c>
      <c r="AA4" s="34">
        <v>20</v>
      </c>
      <c r="AB4" s="34">
        <v>21</v>
      </c>
      <c r="AC4" s="34">
        <v>22</v>
      </c>
      <c r="AD4" s="34">
        <v>23</v>
      </c>
      <c r="AE4" s="34">
        <v>24</v>
      </c>
      <c r="AF4" s="34">
        <v>25</v>
      </c>
      <c r="AG4" s="34">
        <v>26</v>
      </c>
      <c r="AH4" s="34">
        <v>27</v>
      </c>
      <c r="AI4" s="34">
        <v>28</v>
      </c>
      <c r="AJ4" s="34">
        <v>29</v>
      </c>
      <c r="AK4" s="96">
        <v>30</v>
      </c>
      <c r="AL4" s="34">
        <v>31</v>
      </c>
      <c r="AM4" s="34">
        <v>32</v>
      </c>
      <c r="AN4" s="34">
        <v>33</v>
      </c>
      <c r="AO4" s="34">
        <v>34</v>
      </c>
      <c r="AP4" s="34">
        <v>35</v>
      </c>
      <c r="AQ4" s="34">
        <v>36</v>
      </c>
      <c r="AR4" s="34">
        <v>37</v>
      </c>
      <c r="AS4" s="34">
        <v>38</v>
      </c>
      <c r="AT4" s="34">
        <v>39</v>
      </c>
      <c r="AU4" s="35">
        <v>40</v>
      </c>
    </row>
    <row r="5" spans="2:47" s="38" customFormat="1" ht="20.100000000000001" customHeight="1" x14ac:dyDescent="0.2">
      <c r="B5" s="151"/>
      <c r="C5" s="152"/>
      <c r="D5" s="154"/>
      <c r="E5" s="136"/>
      <c r="F5" s="155"/>
      <c r="G5" s="36" t="s">
        <v>1</v>
      </c>
      <c r="H5" s="37">
        <v>1128</v>
      </c>
      <c r="I5" s="37">
        <v>1120</v>
      </c>
      <c r="J5" s="37">
        <v>914</v>
      </c>
      <c r="K5" s="37">
        <v>1717</v>
      </c>
      <c r="L5" s="37">
        <v>1429</v>
      </c>
      <c r="M5" s="37">
        <v>1220</v>
      </c>
      <c r="N5" s="37">
        <v>1215</v>
      </c>
      <c r="O5" s="37">
        <v>1101</v>
      </c>
      <c r="P5" s="37">
        <v>925</v>
      </c>
      <c r="Q5" s="37">
        <v>1415</v>
      </c>
      <c r="R5" s="37">
        <v>1419</v>
      </c>
      <c r="S5" s="37">
        <v>1024</v>
      </c>
      <c r="T5" s="37">
        <v>1029</v>
      </c>
      <c r="U5" s="37">
        <v>825</v>
      </c>
      <c r="V5" s="37">
        <v>510</v>
      </c>
      <c r="W5" s="37">
        <v>1225</v>
      </c>
      <c r="X5" s="37">
        <v>1631</v>
      </c>
      <c r="Y5" s="37">
        <v>1125</v>
      </c>
      <c r="Z5" s="37">
        <v>1625</v>
      </c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94"/>
      <c r="AL5" s="7"/>
      <c r="AM5" s="7"/>
      <c r="AN5" s="7"/>
      <c r="AO5" s="7"/>
      <c r="AP5" s="7"/>
      <c r="AQ5" s="7"/>
      <c r="AR5" s="7"/>
      <c r="AS5" s="7"/>
      <c r="AT5" s="7"/>
      <c r="AU5" s="9"/>
    </row>
    <row r="6" spans="2:47" s="38" customFormat="1" ht="30" customHeight="1" x14ac:dyDescent="0.2">
      <c r="B6" s="77" t="s">
        <v>12</v>
      </c>
      <c r="C6" s="62" t="s">
        <v>53</v>
      </c>
      <c r="D6" s="35"/>
      <c r="E6" s="39">
        <v>6000</v>
      </c>
      <c r="F6" s="12">
        <f>E6*G6</f>
        <v>30000</v>
      </c>
      <c r="G6" s="95">
        <f t="shared" ref="G6:G19" si="0">SUM(H6:AU6)</f>
        <v>5</v>
      </c>
      <c r="H6" s="40"/>
      <c r="I6" s="40"/>
      <c r="J6" s="40"/>
      <c r="K6" s="40">
        <v>1</v>
      </c>
      <c r="L6" s="40"/>
      <c r="M6" s="40"/>
      <c r="N6" s="40">
        <v>1</v>
      </c>
      <c r="O6" s="40"/>
      <c r="P6" s="40"/>
      <c r="Q6" s="40">
        <v>1</v>
      </c>
      <c r="R6" s="40"/>
      <c r="S6" s="40"/>
      <c r="T6" s="40">
        <v>1</v>
      </c>
      <c r="U6" s="40"/>
      <c r="V6" s="40"/>
      <c r="W6" s="40"/>
      <c r="X6" s="40"/>
      <c r="Y6" s="40">
        <v>1</v>
      </c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97"/>
      <c r="AL6" s="40"/>
      <c r="AM6" s="40"/>
      <c r="AN6" s="40"/>
      <c r="AO6" s="40"/>
      <c r="AP6" s="40"/>
      <c r="AQ6" s="40"/>
      <c r="AR6" s="40"/>
      <c r="AS6" s="40"/>
      <c r="AT6" s="40"/>
      <c r="AU6" s="41"/>
    </row>
    <row r="7" spans="2:47" s="38" customFormat="1" ht="30" customHeight="1" x14ac:dyDescent="0.2">
      <c r="B7" s="78" t="s">
        <v>13</v>
      </c>
      <c r="C7" s="63" t="s">
        <v>54</v>
      </c>
      <c r="D7" s="64"/>
      <c r="E7" s="42">
        <v>6500</v>
      </c>
      <c r="F7" s="18">
        <f t="shared" ref="F7:F19" si="1">E7*G7</f>
        <v>26000</v>
      </c>
      <c r="G7" s="95">
        <f t="shared" si="0"/>
        <v>4</v>
      </c>
      <c r="H7" s="43"/>
      <c r="I7" s="43">
        <v>1</v>
      </c>
      <c r="J7" s="43"/>
      <c r="K7" s="43">
        <v>1</v>
      </c>
      <c r="L7" s="43"/>
      <c r="M7" s="43">
        <v>1</v>
      </c>
      <c r="N7" s="43"/>
      <c r="O7" s="43"/>
      <c r="P7" s="43"/>
      <c r="Q7" s="43"/>
      <c r="R7" s="43"/>
      <c r="S7" s="43">
        <v>1</v>
      </c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98"/>
      <c r="AL7" s="43"/>
      <c r="AM7" s="43"/>
      <c r="AN7" s="43"/>
      <c r="AO7" s="43"/>
      <c r="AP7" s="43"/>
      <c r="AQ7" s="43"/>
      <c r="AR7" s="43"/>
      <c r="AS7" s="43"/>
      <c r="AT7" s="43"/>
      <c r="AU7" s="44"/>
    </row>
    <row r="8" spans="2:47" s="38" customFormat="1" ht="30" customHeight="1" x14ac:dyDescent="0.2">
      <c r="B8" s="78" t="s">
        <v>14</v>
      </c>
      <c r="C8" s="63" t="s">
        <v>55</v>
      </c>
      <c r="D8" s="64" t="s">
        <v>53</v>
      </c>
      <c r="E8" s="42">
        <v>7000</v>
      </c>
      <c r="F8" s="18">
        <f t="shared" si="1"/>
        <v>14000</v>
      </c>
      <c r="G8" s="95">
        <f t="shared" si="0"/>
        <v>2</v>
      </c>
      <c r="H8" s="43"/>
      <c r="I8" s="43"/>
      <c r="J8" s="43"/>
      <c r="K8" s="43">
        <v>1</v>
      </c>
      <c r="L8" s="43"/>
      <c r="M8" s="43">
        <v>1</v>
      </c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98"/>
      <c r="AL8" s="43"/>
      <c r="AM8" s="43"/>
      <c r="AN8" s="43"/>
      <c r="AO8" s="43"/>
      <c r="AP8" s="43"/>
      <c r="AQ8" s="43"/>
      <c r="AR8" s="43"/>
      <c r="AS8" s="43"/>
      <c r="AT8" s="43"/>
      <c r="AU8" s="44"/>
    </row>
    <row r="9" spans="2:47" s="38" customFormat="1" ht="30" customHeight="1" x14ac:dyDescent="0.2">
      <c r="B9" s="78" t="s">
        <v>15</v>
      </c>
      <c r="C9" s="63" t="s">
        <v>57</v>
      </c>
      <c r="D9" s="64"/>
      <c r="E9" s="42">
        <v>5500</v>
      </c>
      <c r="F9" s="18">
        <f t="shared" si="1"/>
        <v>71500</v>
      </c>
      <c r="G9" s="95">
        <f t="shared" si="0"/>
        <v>13</v>
      </c>
      <c r="H9" s="43">
        <v>1</v>
      </c>
      <c r="I9" s="43"/>
      <c r="J9" s="43">
        <v>1</v>
      </c>
      <c r="K9" s="43"/>
      <c r="L9" s="43">
        <v>2</v>
      </c>
      <c r="M9" s="43"/>
      <c r="N9" s="43"/>
      <c r="O9" s="43">
        <v>1</v>
      </c>
      <c r="P9" s="43"/>
      <c r="Q9" s="43"/>
      <c r="R9" s="43">
        <v>2</v>
      </c>
      <c r="S9" s="43">
        <v>1</v>
      </c>
      <c r="T9" s="43"/>
      <c r="U9" s="43">
        <v>1</v>
      </c>
      <c r="V9" s="43">
        <v>1</v>
      </c>
      <c r="W9" s="43">
        <v>2</v>
      </c>
      <c r="X9" s="43">
        <v>1</v>
      </c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98"/>
      <c r="AL9" s="43"/>
      <c r="AM9" s="43"/>
      <c r="AN9" s="43"/>
      <c r="AO9" s="43"/>
      <c r="AP9" s="43"/>
      <c r="AQ9" s="43"/>
      <c r="AR9" s="43"/>
      <c r="AS9" s="43"/>
      <c r="AT9" s="43"/>
      <c r="AU9" s="44"/>
    </row>
    <row r="10" spans="2:47" s="38" customFormat="1" ht="30" customHeight="1" x14ac:dyDescent="0.2">
      <c r="B10" s="78" t="s">
        <v>16</v>
      </c>
      <c r="C10" s="63" t="s">
        <v>58</v>
      </c>
      <c r="D10" s="64"/>
      <c r="E10" s="42">
        <v>4000</v>
      </c>
      <c r="F10" s="18">
        <f t="shared" si="1"/>
        <v>4000</v>
      </c>
      <c r="G10" s="95">
        <f t="shared" si="0"/>
        <v>1</v>
      </c>
      <c r="H10" s="43"/>
      <c r="I10" s="43"/>
      <c r="J10" s="43"/>
      <c r="K10" s="43">
        <v>1</v>
      </c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98"/>
      <c r="AL10" s="43"/>
      <c r="AM10" s="43"/>
      <c r="AN10" s="43"/>
      <c r="AO10" s="43"/>
      <c r="AP10" s="43"/>
      <c r="AQ10" s="43"/>
      <c r="AR10" s="43"/>
      <c r="AS10" s="43"/>
      <c r="AT10" s="43"/>
      <c r="AU10" s="44"/>
    </row>
    <row r="11" spans="2:47" s="38" customFormat="1" ht="30" customHeight="1" x14ac:dyDescent="0.2">
      <c r="B11" s="78" t="s">
        <v>17</v>
      </c>
      <c r="C11" s="63" t="s">
        <v>59</v>
      </c>
      <c r="D11" s="64"/>
      <c r="E11" s="42">
        <v>4000</v>
      </c>
      <c r="F11" s="18">
        <f t="shared" si="1"/>
        <v>0</v>
      </c>
      <c r="G11" s="95">
        <f t="shared" si="0"/>
        <v>0</v>
      </c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98"/>
      <c r="AL11" s="43"/>
      <c r="AM11" s="43"/>
      <c r="AN11" s="43"/>
      <c r="AO11" s="43"/>
      <c r="AP11" s="43"/>
      <c r="AQ11" s="43"/>
      <c r="AR11" s="43"/>
      <c r="AS11" s="43"/>
      <c r="AT11" s="43"/>
      <c r="AU11" s="44"/>
    </row>
    <row r="12" spans="2:47" s="38" customFormat="1" ht="30" customHeight="1" x14ac:dyDescent="0.2">
      <c r="B12" s="78" t="s">
        <v>18</v>
      </c>
      <c r="C12" s="63" t="s">
        <v>60</v>
      </c>
      <c r="D12" s="64"/>
      <c r="E12" s="42">
        <v>4000</v>
      </c>
      <c r="F12" s="18">
        <f t="shared" si="1"/>
        <v>8000</v>
      </c>
      <c r="G12" s="95">
        <f t="shared" si="0"/>
        <v>2</v>
      </c>
      <c r="H12" s="43"/>
      <c r="I12" s="43"/>
      <c r="J12" s="43"/>
      <c r="K12" s="43"/>
      <c r="L12" s="43"/>
      <c r="M12" s="43"/>
      <c r="N12" s="43"/>
      <c r="O12" s="43"/>
      <c r="P12" s="43">
        <v>1</v>
      </c>
      <c r="Q12" s="43">
        <v>1</v>
      </c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98"/>
      <c r="AL12" s="43"/>
      <c r="AM12" s="43"/>
      <c r="AN12" s="43"/>
      <c r="AO12" s="43"/>
      <c r="AP12" s="43"/>
      <c r="AQ12" s="43"/>
      <c r="AR12" s="43"/>
      <c r="AS12" s="43"/>
      <c r="AT12" s="43"/>
      <c r="AU12" s="44"/>
    </row>
    <row r="13" spans="2:47" s="38" customFormat="1" ht="30" customHeight="1" x14ac:dyDescent="0.2">
      <c r="B13" s="78" t="s">
        <v>19</v>
      </c>
      <c r="C13" s="63" t="s">
        <v>59</v>
      </c>
      <c r="D13" s="64"/>
      <c r="E13" s="42">
        <v>5000</v>
      </c>
      <c r="F13" s="18">
        <f t="shared" si="1"/>
        <v>5000</v>
      </c>
      <c r="G13" s="95">
        <f t="shared" si="0"/>
        <v>1</v>
      </c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>
        <v>1</v>
      </c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99"/>
      <c r="AL13" s="43"/>
      <c r="AM13" s="43"/>
      <c r="AN13" s="43"/>
      <c r="AO13" s="43"/>
      <c r="AP13" s="43"/>
      <c r="AQ13" s="43"/>
      <c r="AR13" s="43"/>
      <c r="AS13" s="43"/>
      <c r="AT13" s="43"/>
      <c r="AU13" s="44"/>
    </row>
    <row r="14" spans="2:47" s="38" customFormat="1" ht="30" customHeight="1" x14ac:dyDescent="0.2">
      <c r="B14" s="78" t="s">
        <v>20</v>
      </c>
      <c r="C14" s="63" t="s">
        <v>53</v>
      </c>
      <c r="D14" s="64"/>
      <c r="E14" s="42">
        <v>7000</v>
      </c>
      <c r="F14" s="18">
        <f t="shared" si="1"/>
        <v>0</v>
      </c>
      <c r="G14" s="95">
        <f t="shared" si="0"/>
        <v>0</v>
      </c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98"/>
      <c r="AL14" s="43"/>
      <c r="AM14" s="43"/>
      <c r="AN14" s="43"/>
      <c r="AO14" s="43"/>
      <c r="AP14" s="43"/>
      <c r="AQ14" s="43"/>
      <c r="AR14" s="43"/>
      <c r="AS14" s="43"/>
      <c r="AT14" s="43"/>
      <c r="AU14" s="44"/>
    </row>
    <row r="15" spans="2:47" s="38" customFormat="1" ht="30" customHeight="1" x14ac:dyDescent="0.2">
      <c r="B15" s="78" t="s">
        <v>21</v>
      </c>
      <c r="C15" s="63" t="s">
        <v>61</v>
      </c>
      <c r="D15" s="64"/>
      <c r="E15" s="42">
        <v>7000</v>
      </c>
      <c r="F15" s="18">
        <f t="shared" si="1"/>
        <v>14000</v>
      </c>
      <c r="G15" s="95">
        <f t="shared" si="0"/>
        <v>2</v>
      </c>
      <c r="H15" s="43"/>
      <c r="I15" s="43"/>
      <c r="J15" s="43"/>
      <c r="K15" s="43">
        <v>1</v>
      </c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>
        <v>1</v>
      </c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98"/>
      <c r="AL15" s="43"/>
      <c r="AM15" s="43"/>
      <c r="AN15" s="43"/>
      <c r="AO15" s="43"/>
      <c r="AP15" s="43"/>
      <c r="AQ15" s="43"/>
      <c r="AR15" s="43"/>
      <c r="AS15" s="43"/>
      <c r="AT15" s="43"/>
      <c r="AU15" s="44"/>
    </row>
    <row r="16" spans="2:47" s="38" customFormat="1" ht="30" customHeight="1" x14ac:dyDescent="0.2">
      <c r="B16" s="78" t="s">
        <v>22</v>
      </c>
      <c r="C16" s="63"/>
      <c r="D16" s="64"/>
      <c r="E16" s="42">
        <v>7000</v>
      </c>
      <c r="F16" s="18">
        <f t="shared" si="1"/>
        <v>0</v>
      </c>
      <c r="G16" s="95">
        <f t="shared" si="0"/>
        <v>0</v>
      </c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98"/>
      <c r="AL16" s="43"/>
      <c r="AM16" s="43"/>
      <c r="AN16" s="43"/>
      <c r="AO16" s="43"/>
      <c r="AP16" s="43"/>
      <c r="AQ16" s="43"/>
      <c r="AR16" s="43"/>
      <c r="AS16" s="43"/>
      <c r="AT16" s="43"/>
      <c r="AU16" s="44"/>
    </row>
    <row r="17" spans="2:47" s="38" customFormat="1" ht="30" customHeight="1" x14ac:dyDescent="0.2">
      <c r="B17" s="78" t="s">
        <v>23</v>
      </c>
      <c r="C17" s="63"/>
      <c r="D17" s="64"/>
      <c r="E17" s="42">
        <v>7000</v>
      </c>
      <c r="F17" s="18">
        <f t="shared" si="1"/>
        <v>0</v>
      </c>
      <c r="G17" s="95">
        <f t="shared" si="0"/>
        <v>0</v>
      </c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98"/>
      <c r="AL17" s="43"/>
      <c r="AM17" s="43"/>
      <c r="AN17" s="43"/>
      <c r="AO17" s="43"/>
      <c r="AP17" s="43"/>
      <c r="AQ17" s="43"/>
      <c r="AR17" s="43"/>
      <c r="AS17" s="43"/>
      <c r="AT17" s="43"/>
      <c r="AU17" s="44"/>
    </row>
    <row r="18" spans="2:47" s="38" customFormat="1" ht="30" customHeight="1" x14ac:dyDescent="0.2">
      <c r="B18" s="78" t="s">
        <v>24</v>
      </c>
      <c r="C18" s="63"/>
      <c r="D18" s="64"/>
      <c r="E18" s="42">
        <v>7000</v>
      </c>
      <c r="F18" s="18">
        <f t="shared" si="1"/>
        <v>0</v>
      </c>
      <c r="G18" s="95">
        <f t="shared" si="0"/>
        <v>0</v>
      </c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99"/>
      <c r="AL18" s="43"/>
      <c r="AM18" s="43"/>
      <c r="AN18" s="43"/>
      <c r="AO18" s="43"/>
      <c r="AP18" s="43"/>
      <c r="AQ18" s="43"/>
      <c r="AR18" s="43"/>
      <c r="AS18" s="43"/>
      <c r="AT18" s="43"/>
      <c r="AU18" s="44"/>
    </row>
    <row r="19" spans="2:47" s="38" customFormat="1" ht="30" customHeight="1" x14ac:dyDescent="0.2">
      <c r="B19" s="79" t="s">
        <v>25</v>
      </c>
      <c r="C19" s="65"/>
      <c r="D19" s="9"/>
      <c r="E19" s="61">
        <v>7000</v>
      </c>
      <c r="F19" s="50">
        <f t="shared" si="1"/>
        <v>0</v>
      </c>
      <c r="G19" s="95">
        <f t="shared" si="0"/>
        <v>0</v>
      </c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98"/>
      <c r="AL19" s="45"/>
      <c r="AM19" s="45"/>
      <c r="AN19" s="45"/>
      <c r="AO19" s="45"/>
      <c r="AP19" s="45"/>
      <c r="AQ19" s="45"/>
      <c r="AR19" s="45"/>
      <c r="AS19" s="45"/>
      <c r="AT19" s="45"/>
      <c r="AU19" s="60"/>
    </row>
    <row r="20" spans="2:47" s="38" customFormat="1" ht="20.100000000000001" customHeight="1" x14ac:dyDescent="0.2">
      <c r="B20" s="139" t="s">
        <v>8</v>
      </c>
      <c r="C20" s="140"/>
      <c r="D20" s="144"/>
      <c r="E20" s="146">
        <f>SUM(E6:E8,E10:E15)+E9*2</f>
        <v>61500</v>
      </c>
      <c r="F20" s="148">
        <f>SUM(F6:F19)</f>
        <v>172500</v>
      </c>
      <c r="G20" s="125">
        <f>SUM(G6:G19)</f>
        <v>30</v>
      </c>
      <c r="H20" s="23">
        <f t="shared" ref="H20:X20" si="2">SUM(H6:H19)</f>
        <v>1</v>
      </c>
      <c r="I20" s="23">
        <f t="shared" si="2"/>
        <v>1</v>
      </c>
      <c r="J20" s="23">
        <f t="shared" si="2"/>
        <v>1</v>
      </c>
      <c r="K20" s="23">
        <f t="shared" si="2"/>
        <v>5</v>
      </c>
      <c r="L20" s="23">
        <f t="shared" si="2"/>
        <v>2</v>
      </c>
      <c r="M20" s="23">
        <f t="shared" si="2"/>
        <v>2</v>
      </c>
      <c r="N20" s="23">
        <f t="shared" si="2"/>
        <v>1</v>
      </c>
      <c r="O20" s="23">
        <f t="shared" si="2"/>
        <v>1</v>
      </c>
      <c r="P20" s="23">
        <f t="shared" si="2"/>
        <v>1</v>
      </c>
      <c r="Q20" s="23">
        <f t="shared" si="2"/>
        <v>2</v>
      </c>
      <c r="R20" s="23">
        <f t="shared" si="2"/>
        <v>2</v>
      </c>
      <c r="S20" s="23">
        <f t="shared" si="2"/>
        <v>2</v>
      </c>
      <c r="T20" s="23">
        <f t="shared" si="2"/>
        <v>1</v>
      </c>
      <c r="U20" s="23">
        <f t="shared" si="2"/>
        <v>1</v>
      </c>
      <c r="V20" s="23">
        <f t="shared" si="2"/>
        <v>1</v>
      </c>
      <c r="W20" s="23">
        <f t="shared" si="2"/>
        <v>2</v>
      </c>
      <c r="X20" s="23">
        <f t="shared" si="2"/>
        <v>1</v>
      </c>
      <c r="Y20" s="23">
        <f t="shared" ref="Y20:AH20" si="3">SUM(Y6:Y19)</f>
        <v>2</v>
      </c>
      <c r="Z20" s="23">
        <f t="shared" si="3"/>
        <v>1</v>
      </c>
      <c r="AA20" s="23">
        <f t="shared" si="3"/>
        <v>0</v>
      </c>
      <c r="AB20" s="23">
        <f t="shared" si="3"/>
        <v>0</v>
      </c>
      <c r="AC20" s="23">
        <f t="shared" si="3"/>
        <v>0</v>
      </c>
      <c r="AD20" s="23">
        <f t="shared" si="3"/>
        <v>0</v>
      </c>
      <c r="AE20" s="23">
        <f t="shared" si="3"/>
        <v>0</v>
      </c>
      <c r="AF20" s="23">
        <f t="shared" si="3"/>
        <v>0</v>
      </c>
      <c r="AG20" s="23">
        <f t="shared" si="3"/>
        <v>0</v>
      </c>
      <c r="AH20" s="23">
        <f t="shared" si="3"/>
        <v>0</v>
      </c>
      <c r="AI20" s="23">
        <f>SUM(AI6:AI19)</f>
        <v>0</v>
      </c>
      <c r="AJ20" s="23">
        <f>SUM(AJ6:AJ19)</f>
        <v>0</v>
      </c>
      <c r="AK20" s="100">
        <f>SUM(AK6:AK19)</f>
        <v>0</v>
      </c>
      <c r="AL20" s="101">
        <f>SUM(AL6:AL19)</f>
        <v>0</v>
      </c>
      <c r="AM20" s="101">
        <f t="shared" ref="AM20:AU20" si="4">SUM(AM6:AM19)</f>
        <v>0</v>
      </c>
      <c r="AN20" s="101">
        <f t="shared" si="4"/>
        <v>0</v>
      </c>
      <c r="AO20" s="101">
        <f t="shared" si="4"/>
        <v>0</v>
      </c>
      <c r="AP20" s="101">
        <f t="shared" si="4"/>
        <v>0</v>
      </c>
      <c r="AQ20" s="101">
        <f t="shared" si="4"/>
        <v>0</v>
      </c>
      <c r="AR20" s="101">
        <f t="shared" si="4"/>
        <v>0</v>
      </c>
      <c r="AS20" s="101">
        <f t="shared" si="4"/>
        <v>0</v>
      </c>
      <c r="AT20" s="101">
        <f t="shared" si="4"/>
        <v>0</v>
      </c>
      <c r="AU20" s="102">
        <f t="shared" si="4"/>
        <v>0</v>
      </c>
    </row>
    <row r="21" spans="2:47" s="38" customFormat="1" ht="20.100000000000001" customHeight="1" x14ac:dyDescent="0.2">
      <c r="B21" s="141"/>
      <c r="C21" s="142"/>
      <c r="D21" s="145"/>
      <c r="E21" s="147"/>
      <c r="F21" s="126"/>
      <c r="G21" s="126"/>
      <c r="H21" s="46">
        <f>$E6*H6+$E7*H7+$E8*H8+$E9*H9+$E10*H10+$E11*H11+$E12*H12+$E14*H14+$E15*H15+$E16*H16+$E17*H17+$E18*H18+$E19*H19+$E13*H13</f>
        <v>5500</v>
      </c>
      <c r="I21" s="28">
        <f t="shared" ref="I21:AK21" si="5">$E6*I6+$E7*I7+$E8*I8+$E9*I9+$E10*I10+$E11*I11+$E12*I12+$E14*I14+$E15*I15+$E16*I16+$E17*I17+$E18*I18+$E19*I19+$E13*I13</f>
        <v>6500</v>
      </c>
      <c r="J21" s="28">
        <f t="shared" si="5"/>
        <v>5500</v>
      </c>
      <c r="K21" s="28">
        <f t="shared" si="5"/>
        <v>30500</v>
      </c>
      <c r="L21" s="28">
        <f t="shared" si="5"/>
        <v>11000</v>
      </c>
      <c r="M21" s="28">
        <f t="shared" si="5"/>
        <v>13500</v>
      </c>
      <c r="N21" s="28">
        <f t="shared" si="5"/>
        <v>6000</v>
      </c>
      <c r="O21" s="28">
        <f t="shared" si="5"/>
        <v>5500</v>
      </c>
      <c r="P21" s="28">
        <f t="shared" si="5"/>
        <v>4000</v>
      </c>
      <c r="Q21" s="28">
        <f t="shared" si="5"/>
        <v>10000</v>
      </c>
      <c r="R21" s="28">
        <f t="shared" si="5"/>
        <v>11000</v>
      </c>
      <c r="S21" s="28">
        <f t="shared" si="5"/>
        <v>12000</v>
      </c>
      <c r="T21" s="28">
        <f t="shared" si="5"/>
        <v>6000</v>
      </c>
      <c r="U21" s="28">
        <f t="shared" si="5"/>
        <v>5500</v>
      </c>
      <c r="V21" s="28">
        <f t="shared" si="5"/>
        <v>5500</v>
      </c>
      <c r="W21" s="28">
        <f t="shared" si="5"/>
        <v>11000</v>
      </c>
      <c r="X21" s="28">
        <f t="shared" si="5"/>
        <v>5500</v>
      </c>
      <c r="Y21" s="28">
        <f t="shared" si="5"/>
        <v>13000</v>
      </c>
      <c r="Z21" s="28">
        <f t="shared" si="5"/>
        <v>5000</v>
      </c>
      <c r="AA21" s="28">
        <f t="shared" si="5"/>
        <v>0</v>
      </c>
      <c r="AB21" s="28">
        <f t="shared" si="5"/>
        <v>0</v>
      </c>
      <c r="AC21" s="28">
        <f t="shared" si="5"/>
        <v>0</v>
      </c>
      <c r="AD21" s="28">
        <f t="shared" si="5"/>
        <v>0</v>
      </c>
      <c r="AE21" s="28">
        <f t="shared" si="5"/>
        <v>0</v>
      </c>
      <c r="AF21" s="28">
        <f t="shared" si="5"/>
        <v>0</v>
      </c>
      <c r="AG21" s="28">
        <f t="shared" si="5"/>
        <v>0</v>
      </c>
      <c r="AH21" s="28">
        <f t="shared" si="5"/>
        <v>0</v>
      </c>
      <c r="AI21" s="28">
        <f t="shared" si="5"/>
        <v>0</v>
      </c>
      <c r="AJ21" s="28">
        <f t="shared" si="5"/>
        <v>0</v>
      </c>
      <c r="AK21" s="74">
        <f t="shared" si="5"/>
        <v>0</v>
      </c>
      <c r="AL21" s="28">
        <f>$E6*AL6+$E7*AL7+$E8*AL8+$E9*AL9+$E10*AL10+$E11*AL11+$E12*AL12+$E14*AL14+$E15*AL15+$E16*AL16+$E17*AL17+$E18*AL18+$E19*AL19+$E13*AL13</f>
        <v>0</v>
      </c>
      <c r="AM21" s="28">
        <f>$E6*AM6+$E7*AM7+$E8*AM8+$E9*AM9+$E10*AM10+$E11*AM11+$E12*AM12+$E14*AM14+$E15*AM15+$E16*AM16+$E17*AM17+$E18*AM18+$E19*AM19+$E13*AM13</f>
        <v>0</v>
      </c>
      <c r="AN21" s="28">
        <f>$E6*AN6+$E7*AN7+$E8*AN8+$E9*AN9+$E10*AN10+$E11*AN11+$E12*AN12+$E14*AN14+$E15*AN15+$E16*AN16+$E17*AN17+$E18*AN18+$E19*AN19+$E13*AN13</f>
        <v>0</v>
      </c>
      <c r="AO21" s="28">
        <f t="shared" ref="AO21:AU21" si="6">$E6*AO6+$E7*AO7+$E8*AO8+$E9*AO9+$E10*AO10+$E11*AO11+$E12*AO12+$E14*AO14+$E15*AO15+$E16*AO16+$E17*AO17+$E18*AO18+$E19*AO19+$E13*AO13</f>
        <v>0</v>
      </c>
      <c r="AP21" s="28">
        <f t="shared" si="6"/>
        <v>0</v>
      </c>
      <c r="AQ21" s="28">
        <f t="shared" si="6"/>
        <v>0</v>
      </c>
      <c r="AR21" s="28">
        <f t="shared" si="6"/>
        <v>0</v>
      </c>
      <c r="AS21" s="28">
        <f t="shared" si="6"/>
        <v>0</v>
      </c>
      <c r="AT21" s="28">
        <f t="shared" si="6"/>
        <v>0</v>
      </c>
      <c r="AU21" s="29">
        <f t="shared" si="6"/>
        <v>0</v>
      </c>
    </row>
  </sheetData>
  <sheetProtection password="CC67" sheet="1" objects="1" scenarios="1"/>
  <mergeCells count="10">
    <mergeCell ref="B20:D21"/>
    <mergeCell ref="E20:E21"/>
    <mergeCell ref="F20:F21"/>
    <mergeCell ref="G20:G21"/>
    <mergeCell ref="B2:G2"/>
    <mergeCell ref="B4:B5"/>
    <mergeCell ref="C4:C5"/>
    <mergeCell ref="D4:D5"/>
    <mergeCell ref="E4:E5"/>
    <mergeCell ref="F4:F5"/>
  </mergeCells>
  <phoneticPr fontId="2" type="noConversion"/>
  <pageMargins left="0.7" right="0.7" top="0.75" bottom="0.75" header="0.3" footer="0.3"/>
  <pageSetup paperSize="9" scale="31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AU21"/>
  <sheetViews>
    <sheetView showGridLines="0" zoomScale="85" zoomScaleNormal="85" workbookViewId="0">
      <pane xSplit="7" ySplit="5" topLeftCell="H6" activePane="bottomRight" state="frozen"/>
      <selection pane="topRight" activeCell="G1" sqref="G1"/>
      <selection pane="bottomLeft" activeCell="A6" sqref="A6"/>
      <selection pane="bottomRight" activeCell="H24" sqref="H24"/>
    </sheetView>
  </sheetViews>
  <sheetFormatPr defaultColWidth="9.125" defaultRowHeight="14.25" x14ac:dyDescent="0.2"/>
  <cols>
    <col min="1" max="1" width="0.375" style="1" customWidth="1"/>
    <col min="2" max="2" width="16.875" style="1" bestFit="1" customWidth="1"/>
    <col min="3" max="4" width="13.625" style="1" customWidth="1"/>
    <col min="5" max="5" width="10.625" style="1" hidden="1" customWidth="1"/>
    <col min="6" max="6" width="10.625" style="1" customWidth="1"/>
    <col min="7" max="7" width="10.625" style="3" customWidth="1"/>
    <col min="8" max="22" width="10.625" style="4" customWidth="1"/>
    <col min="23" max="47" width="10.625" style="1" customWidth="1"/>
    <col min="48" max="16384" width="9.125" style="1"/>
  </cols>
  <sheetData>
    <row r="1" spans="2:47" ht="3.75" customHeight="1" x14ac:dyDescent="0.2"/>
    <row r="2" spans="2:47" ht="20.25" x14ac:dyDescent="0.2">
      <c r="B2" s="149" t="s">
        <v>26</v>
      </c>
      <c r="C2" s="149"/>
      <c r="D2" s="149"/>
      <c r="E2" s="149"/>
      <c r="F2" s="149"/>
      <c r="G2" s="149"/>
    </row>
    <row r="3" spans="2:47" ht="4.9000000000000004" customHeight="1" x14ac:dyDescent="0.2"/>
    <row r="4" spans="2:47" s="38" customFormat="1" ht="20.100000000000001" customHeight="1" x14ac:dyDescent="0.2">
      <c r="B4" s="150" t="s">
        <v>3</v>
      </c>
      <c r="C4" s="123" t="s">
        <v>45</v>
      </c>
      <c r="D4" s="153" t="s">
        <v>46</v>
      </c>
      <c r="E4" s="135" t="s">
        <v>4</v>
      </c>
      <c r="F4" s="129" t="s">
        <v>5</v>
      </c>
      <c r="G4" s="32" t="s">
        <v>0</v>
      </c>
      <c r="H4" s="33">
        <v>1</v>
      </c>
      <c r="I4" s="34">
        <v>2</v>
      </c>
      <c r="J4" s="34">
        <v>3</v>
      </c>
      <c r="K4" s="34">
        <v>4</v>
      </c>
      <c r="L4" s="34">
        <v>5</v>
      </c>
      <c r="M4" s="34">
        <v>6</v>
      </c>
      <c r="N4" s="34">
        <v>7</v>
      </c>
      <c r="O4" s="34">
        <v>8</v>
      </c>
      <c r="P4" s="34">
        <v>9</v>
      </c>
      <c r="Q4" s="34">
        <v>10</v>
      </c>
      <c r="R4" s="34">
        <v>11</v>
      </c>
      <c r="S4" s="34">
        <v>12</v>
      </c>
      <c r="T4" s="34">
        <v>13</v>
      </c>
      <c r="U4" s="34">
        <v>14</v>
      </c>
      <c r="V4" s="34">
        <v>15</v>
      </c>
      <c r="W4" s="34">
        <v>16</v>
      </c>
      <c r="X4" s="34">
        <v>17</v>
      </c>
      <c r="Y4" s="33">
        <v>18</v>
      </c>
      <c r="Z4" s="34">
        <v>19</v>
      </c>
      <c r="AA4" s="34">
        <v>20</v>
      </c>
      <c r="AB4" s="34">
        <v>21</v>
      </c>
      <c r="AC4" s="34">
        <v>22</v>
      </c>
      <c r="AD4" s="34">
        <v>23</v>
      </c>
      <c r="AE4" s="34">
        <v>24</v>
      </c>
      <c r="AF4" s="34">
        <v>25</v>
      </c>
      <c r="AG4" s="34">
        <v>26</v>
      </c>
      <c r="AH4" s="34">
        <v>27</v>
      </c>
      <c r="AI4" s="34">
        <v>28</v>
      </c>
      <c r="AJ4" s="34">
        <v>29</v>
      </c>
      <c r="AK4" s="96">
        <v>30</v>
      </c>
      <c r="AL4" s="34">
        <v>31</v>
      </c>
      <c r="AM4" s="34">
        <v>32</v>
      </c>
      <c r="AN4" s="34">
        <v>33</v>
      </c>
      <c r="AO4" s="34">
        <v>34</v>
      </c>
      <c r="AP4" s="34">
        <v>35</v>
      </c>
      <c r="AQ4" s="34">
        <v>36</v>
      </c>
      <c r="AR4" s="34">
        <v>37</v>
      </c>
      <c r="AS4" s="34">
        <v>38</v>
      </c>
      <c r="AT4" s="34">
        <v>39</v>
      </c>
      <c r="AU4" s="35">
        <v>40</v>
      </c>
    </row>
    <row r="5" spans="2:47" s="38" customFormat="1" ht="20.100000000000001" customHeight="1" x14ac:dyDescent="0.2">
      <c r="B5" s="151"/>
      <c r="C5" s="152"/>
      <c r="D5" s="154"/>
      <c r="E5" s="136"/>
      <c r="F5" s="130"/>
      <c r="G5" s="36" t="s">
        <v>1</v>
      </c>
      <c r="H5" s="37">
        <v>1002</v>
      </c>
      <c r="I5" s="37">
        <v>1426</v>
      </c>
      <c r="J5" s="37">
        <v>1701</v>
      </c>
      <c r="K5" s="37">
        <v>1627</v>
      </c>
      <c r="L5" s="37">
        <v>1001</v>
      </c>
      <c r="M5" s="37">
        <v>709</v>
      </c>
      <c r="N5" s="37">
        <v>1114</v>
      </c>
      <c r="O5" s="37">
        <v>711</v>
      </c>
      <c r="P5" s="37">
        <v>1601</v>
      </c>
      <c r="Q5" s="37">
        <v>901</v>
      </c>
      <c r="R5" s="37">
        <v>1101</v>
      </c>
      <c r="S5" s="37">
        <v>1225</v>
      </c>
      <c r="T5" s="37">
        <v>1625</v>
      </c>
      <c r="U5" s="37">
        <v>1014</v>
      </c>
      <c r="V5" s="37">
        <v>510</v>
      </c>
      <c r="W5" s="37">
        <v>1528</v>
      </c>
      <c r="X5" s="37">
        <v>501</v>
      </c>
      <c r="Y5" s="37">
        <v>1128</v>
      </c>
      <c r="Z5" s="37">
        <v>914</v>
      </c>
      <c r="AA5" s="37">
        <v>1415</v>
      </c>
      <c r="AB5" s="37">
        <v>1503</v>
      </c>
      <c r="AC5" s="37">
        <v>1021</v>
      </c>
      <c r="AD5" s="37"/>
      <c r="AE5" s="37"/>
      <c r="AF5" s="37"/>
      <c r="AG5" s="37"/>
      <c r="AH5" s="37"/>
      <c r="AI5" s="37"/>
      <c r="AJ5" s="37"/>
      <c r="AK5" s="94"/>
      <c r="AL5" s="7"/>
      <c r="AM5" s="7"/>
      <c r="AN5" s="7"/>
      <c r="AO5" s="7"/>
      <c r="AP5" s="7"/>
      <c r="AQ5" s="7"/>
      <c r="AR5" s="7"/>
      <c r="AS5" s="7"/>
      <c r="AT5" s="7"/>
      <c r="AU5" s="9"/>
    </row>
    <row r="6" spans="2:47" s="38" customFormat="1" ht="30" customHeight="1" x14ac:dyDescent="0.2">
      <c r="B6" s="77" t="s">
        <v>12</v>
      </c>
      <c r="C6" s="62" t="s">
        <v>53</v>
      </c>
      <c r="D6" s="35"/>
      <c r="E6" s="39">
        <v>6000</v>
      </c>
      <c r="F6" s="12">
        <f>E6*G6</f>
        <v>36000</v>
      </c>
      <c r="G6" s="95">
        <f t="shared" ref="G6:G19" si="0">SUM(H6:AU6)</f>
        <v>6</v>
      </c>
      <c r="H6" s="40"/>
      <c r="I6" s="40">
        <v>1</v>
      </c>
      <c r="J6" s="40"/>
      <c r="K6" s="40">
        <v>1</v>
      </c>
      <c r="L6" s="40"/>
      <c r="M6" s="40"/>
      <c r="N6" s="40"/>
      <c r="O6" s="40"/>
      <c r="P6" s="40"/>
      <c r="Q6" s="40"/>
      <c r="R6" s="40">
        <v>1</v>
      </c>
      <c r="S6" s="40"/>
      <c r="T6" s="40">
        <v>1</v>
      </c>
      <c r="U6" s="40"/>
      <c r="V6" s="40"/>
      <c r="W6" s="40"/>
      <c r="X6" s="40"/>
      <c r="Y6" s="40"/>
      <c r="Z6" s="40"/>
      <c r="AA6" s="40">
        <v>1</v>
      </c>
      <c r="AB6" s="40">
        <v>1</v>
      </c>
      <c r="AC6" s="40"/>
      <c r="AD6" s="40"/>
      <c r="AE6" s="40"/>
      <c r="AF6" s="40"/>
      <c r="AG6" s="40"/>
      <c r="AH6" s="40"/>
      <c r="AI6" s="40"/>
      <c r="AJ6" s="40"/>
      <c r="AK6" s="97"/>
      <c r="AL6" s="40"/>
      <c r="AM6" s="40"/>
      <c r="AN6" s="40"/>
      <c r="AO6" s="40"/>
      <c r="AP6" s="40"/>
      <c r="AQ6" s="40"/>
      <c r="AR6" s="40"/>
      <c r="AS6" s="40"/>
      <c r="AT6" s="40"/>
      <c r="AU6" s="41"/>
    </row>
    <row r="7" spans="2:47" s="38" customFormat="1" ht="30" customHeight="1" x14ac:dyDescent="0.2">
      <c r="B7" s="78" t="s">
        <v>13</v>
      </c>
      <c r="C7" s="63" t="s">
        <v>54</v>
      </c>
      <c r="D7" s="64"/>
      <c r="E7" s="42">
        <v>6500</v>
      </c>
      <c r="F7" s="18">
        <f t="shared" ref="F7:F19" si="1">E7*G7</f>
        <v>19500</v>
      </c>
      <c r="G7" s="95">
        <f t="shared" si="0"/>
        <v>3</v>
      </c>
      <c r="H7" s="43"/>
      <c r="I7" s="43"/>
      <c r="J7" s="43">
        <v>1</v>
      </c>
      <c r="K7" s="43"/>
      <c r="L7" s="43"/>
      <c r="M7" s="43"/>
      <c r="N7" s="43"/>
      <c r="O7" s="43">
        <v>1</v>
      </c>
      <c r="P7" s="43">
        <v>1</v>
      </c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98"/>
      <c r="AL7" s="43"/>
      <c r="AM7" s="43"/>
      <c r="AN7" s="43"/>
      <c r="AO7" s="43"/>
      <c r="AP7" s="43"/>
      <c r="AQ7" s="43"/>
      <c r="AR7" s="43"/>
      <c r="AS7" s="43"/>
      <c r="AT7" s="43"/>
      <c r="AU7" s="44"/>
    </row>
    <row r="8" spans="2:47" s="38" customFormat="1" ht="30" customHeight="1" x14ac:dyDescent="0.2">
      <c r="B8" s="78" t="s">
        <v>14</v>
      </c>
      <c r="C8" s="63" t="s">
        <v>55</v>
      </c>
      <c r="D8" s="64" t="s">
        <v>56</v>
      </c>
      <c r="E8" s="42">
        <v>7000</v>
      </c>
      <c r="F8" s="18">
        <f t="shared" si="1"/>
        <v>0</v>
      </c>
      <c r="G8" s="95">
        <f t="shared" si="0"/>
        <v>0</v>
      </c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98"/>
      <c r="AL8" s="43"/>
      <c r="AM8" s="43"/>
      <c r="AN8" s="43"/>
      <c r="AO8" s="43"/>
      <c r="AP8" s="43"/>
      <c r="AQ8" s="43"/>
      <c r="AR8" s="43"/>
      <c r="AS8" s="43"/>
      <c r="AT8" s="43"/>
      <c r="AU8" s="44"/>
    </row>
    <row r="9" spans="2:47" s="38" customFormat="1" ht="30" customHeight="1" x14ac:dyDescent="0.2">
      <c r="B9" s="78" t="s">
        <v>15</v>
      </c>
      <c r="C9" s="63" t="s">
        <v>57</v>
      </c>
      <c r="D9" s="64"/>
      <c r="E9" s="42">
        <v>5500</v>
      </c>
      <c r="F9" s="18">
        <f t="shared" si="1"/>
        <v>77000</v>
      </c>
      <c r="G9" s="95">
        <f t="shared" si="0"/>
        <v>14</v>
      </c>
      <c r="H9" s="43">
        <v>2</v>
      </c>
      <c r="I9" s="43"/>
      <c r="J9" s="43"/>
      <c r="K9" s="43"/>
      <c r="L9" s="43">
        <v>2</v>
      </c>
      <c r="M9" s="43"/>
      <c r="N9" s="43">
        <v>1</v>
      </c>
      <c r="O9" s="43"/>
      <c r="P9" s="43"/>
      <c r="Q9" s="43">
        <v>1</v>
      </c>
      <c r="R9" s="43"/>
      <c r="S9" s="43">
        <v>2</v>
      </c>
      <c r="T9" s="43"/>
      <c r="U9" s="43">
        <v>1</v>
      </c>
      <c r="V9" s="43">
        <v>1</v>
      </c>
      <c r="W9" s="43">
        <v>1</v>
      </c>
      <c r="X9" s="43"/>
      <c r="Y9" s="43">
        <v>1</v>
      </c>
      <c r="Z9" s="43">
        <v>2</v>
      </c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98"/>
      <c r="AL9" s="43"/>
      <c r="AM9" s="43"/>
      <c r="AN9" s="43"/>
      <c r="AO9" s="43"/>
      <c r="AP9" s="43"/>
      <c r="AQ9" s="43"/>
      <c r="AR9" s="43"/>
      <c r="AS9" s="43"/>
      <c r="AT9" s="43"/>
      <c r="AU9" s="44"/>
    </row>
    <row r="10" spans="2:47" s="38" customFormat="1" ht="30" customHeight="1" x14ac:dyDescent="0.2">
      <c r="B10" s="78" t="s">
        <v>16</v>
      </c>
      <c r="C10" s="63" t="s">
        <v>58</v>
      </c>
      <c r="D10" s="64"/>
      <c r="E10" s="42">
        <v>4000</v>
      </c>
      <c r="F10" s="18">
        <f t="shared" si="1"/>
        <v>0</v>
      </c>
      <c r="G10" s="95">
        <f t="shared" si="0"/>
        <v>0</v>
      </c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98"/>
      <c r="AL10" s="43"/>
      <c r="AM10" s="43"/>
      <c r="AN10" s="43"/>
      <c r="AO10" s="43"/>
      <c r="AP10" s="43"/>
      <c r="AQ10" s="43"/>
      <c r="AR10" s="43"/>
      <c r="AS10" s="43"/>
      <c r="AT10" s="43"/>
      <c r="AU10" s="44"/>
    </row>
    <row r="11" spans="2:47" s="38" customFormat="1" ht="30" customHeight="1" x14ac:dyDescent="0.2">
      <c r="B11" s="78" t="s">
        <v>17</v>
      </c>
      <c r="C11" s="63" t="s">
        <v>59</v>
      </c>
      <c r="D11" s="64"/>
      <c r="E11" s="42">
        <v>4000</v>
      </c>
      <c r="F11" s="18">
        <f t="shared" si="1"/>
        <v>8000</v>
      </c>
      <c r="G11" s="95">
        <f t="shared" si="0"/>
        <v>2</v>
      </c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>
        <v>1</v>
      </c>
      <c r="V11" s="43"/>
      <c r="W11" s="43"/>
      <c r="X11" s="43">
        <v>1</v>
      </c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98"/>
      <c r="AL11" s="43"/>
      <c r="AM11" s="43"/>
      <c r="AN11" s="43"/>
      <c r="AO11" s="43"/>
      <c r="AP11" s="43"/>
      <c r="AQ11" s="43"/>
      <c r="AR11" s="43"/>
      <c r="AS11" s="43"/>
      <c r="AT11" s="43"/>
      <c r="AU11" s="44"/>
    </row>
    <row r="12" spans="2:47" s="38" customFormat="1" ht="30" customHeight="1" x14ac:dyDescent="0.2">
      <c r="B12" s="78" t="s">
        <v>18</v>
      </c>
      <c r="C12" s="63" t="s">
        <v>60</v>
      </c>
      <c r="D12" s="64"/>
      <c r="E12" s="42">
        <v>4000</v>
      </c>
      <c r="F12" s="18">
        <f t="shared" si="1"/>
        <v>4000</v>
      </c>
      <c r="G12" s="95">
        <f t="shared" si="0"/>
        <v>1</v>
      </c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>
        <v>1</v>
      </c>
      <c r="AD12" s="43"/>
      <c r="AE12" s="43"/>
      <c r="AF12" s="43"/>
      <c r="AG12" s="43"/>
      <c r="AH12" s="43"/>
      <c r="AI12" s="43"/>
      <c r="AJ12" s="43"/>
      <c r="AK12" s="98"/>
      <c r="AL12" s="43"/>
      <c r="AM12" s="43"/>
      <c r="AN12" s="43"/>
      <c r="AO12" s="43"/>
      <c r="AP12" s="43"/>
      <c r="AQ12" s="43"/>
      <c r="AR12" s="43"/>
      <c r="AS12" s="43"/>
      <c r="AT12" s="43"/>
      <c r="AU12" s="44"/>
    </row>
    <row r="13" spans="2:47" s="38" customFormat="1" ht="30" customHeight="1" x14ac:dyDescent="0.2">
      <c r="B13" s="78" t="s">
        <v>19</v>
      </c>
      <c r="C13" s="63" t="s">
        <v>59</v>
      </c>
      <c r="D13" s="64"/>
      <c r="E13" s="42">
        <v>5000</v>
      </c>
      <c r="F13" s="18">
        <f t="shared" si="1"/>
        <v>5000</v>
      </c>
      <c r="G13" s="95">
        <f t="shared" si="0"/>
        <v>1</v>
      </c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>
        <v>1</v>
      </c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99"/>
      <c r="AL13" s="43"/>
      <c r="AM13" s="43"/>
      <c r="AN13" s="43"/>
      <c r="AO13" s="43"/>
      <c r="AP13" s="43"/>
      <c r="AQ13" s="43"/>
      <c r="AR13" s="43"/>
      <c r="AS13" s="43"/>
      <c r="AT13" s="43"/>
      <c r="AU13" s="44"/>
    </row>
    <row r="14" spans="2:47" s="38" customFormat="1" ht="30" customHeight="1" x14ac:dyDescent="0.2">
      <c r="B14" s="78" t="s">
        <v>20</v>
      </c>
      <c r="C14" s="63" t="s">
        <v>53</v>
      </c>
      <c r="D14" s="64"/>
      <c r="E14" s="42">
        <v>7000</v>
      </c>
      <c r="F14" s="18">
        <f t="shared" si="1"/>
        <v>14000</v>
      </c>
      <c r="G14" s="95">
        <f t="shared" si="0"/>
        <v>2</v>
      </c>
      <c r="H14" s="43"/>
      <c r="I14" s="43"/>
      <c r="J14" s="43"/>
      <c r="K14" s="43"/>
      <c r="L14" s="43"/>
      <c r="M14" s="43">
        <v>1</v>
      </c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>
        <v>1</v>
      </c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98"/>
      <c r="AL14" s="43"/>
      <c r="AM14" s="43"/>
      <c r="AN14" s="43"/>
      <c r="AO14" s="43"/>
      <c r="AP14" s="43"/>
      <c r="AQ14" s="43"/>
      <c r="AR14" s="43"/>
      <c r="AS14" s="43"/>
      <c r="AT14" s="43"/>
      <c r="AU14" s="44"/>
    </row>
    <row r="15" spans="2:47" s="38" customFormat="1" ht="30" customHeight="1" x14ac:dyDescent="0.2">
      <c r="B15" s="78" t="s">
        <v>21</v>
      </c>
      <c r="C15" s="63" t="s">
        <v>61</v>
      </c>
      <c r="D15" s="64"/>
      <c r="E15" s="42">
        <v>7000</v>
      </c>
      <c r="F15" s="18">
        <f t="shared" si="1"/>
        <v>7000</v>
      </c>
      <c r="G15" s="95">
        <f t="shared" si="0"/>
        <v>1</v>
      </c>
      <c r="H15" s="43"/>
      <c r="I15" s="43"/>
      <c r="J15" s="43"/>
      <c r="K15" s="43"/>
      <c r="L15" s="43"/>
      <c r="M15" s="43">
        <v>1</v>
      </c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98"/>
      <c r="AL15" s="43"/>
      <c r="AM15" s="43"/>
      <c r="AN15" s="43"/>
      <c r="AO15" s="43"/>
      <c r="AP15" s="43"/>
      <c r="AQ15" s="43"/>
      <c r="AR15" s="43"/>
      <c r="AS15" s="43"/>
      <c r="AT15" s="43"/>
      <c r="AU15" s="44"/>
    </row>
    <row r="16" spans="2:47" s="38" customFormat="1" ht="30" customHeight="1" x14ac:dyDescent="0.2">
      <c r="B16" s="78" t="s">
        <v>22</v>
      </c>
      <c r="C16" s="63"/>
      <c r="D16" s="64"/>
      <c r="E16" s="42">
        <v>7000</v>
      </c>
      <c r="F16" s="18">
        <f t="shared" si="1"/>
        <v>0</v>
      </c>
      <c r="G16" s="95">
        <f t="shared" si="0"/>
        <v>0</v>
      </c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98"/>
      <c r="AL16" s="43"/>
      <c r="AM16" s="43"/>
      <c r="AN16" s="43"/>
      <c r="AO16" s="43"/>
      <c r="AP16" s="43"/>
      <c r="AQ16" s="43"/>
      <c r="AR16" s="43"/>
      <c r="AS16" s="43"/>
      <c r="AT16" s="43"/>
      <c r="AU16" s="44"/>
    </row>
    <row r="17" spans="2:47" s="38" customFormat="1" ht="30" customHeight="1" x14ac:dyDescent="0.2">
      <c r="B17" s="78" t="s">
        <v>23</v>
      </c>
      <c r="C17" s="63"/>
      <c r="D17" s="64"/>
      <c r="E17" s="42">
        <v>7000</v>
      </c>
      <c r="F17" s="18">
        <f t="shared" si="1"/>
        <v>0</v>
      </c>
      <c r="G17" s="95">
        <f t="shared" si="0"/>
        <v>0</v>
      </c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98"/>
      <c r="AL17" s="43"/>
      <c r="AM17" s="43"/>
      <c r="AN17" s="43"/>
      <c r="AO17" s="43"/>
      <c r="AP17" s="43"/>
      <c r="AQ17" s="43"/>
      <c r="AR17" s="43"/>
      <c r="AS17" s="43"/>
      <c r="AT17" s="43"/>
      <c r="AU17" s="44"/>
    </row>
    <row r="18" spans="2:47" s="38" customFormat="1" ht="30" customHeight="1" x14ac:dyDescent="0.2">
      <c r="B18" s="78" t="s">
        <v>24</v>
      </c>
      <c r="C18" s="63"/>
      <c r="D18" s="64"/>
      <c r="E18" s="42">
        <v>7000</v>
      </c>
      <c r="F18" s="18">
        <f t="shared" si="1"/>
        <v>0</v>
      </c>
      <c r="G18" s="95">
        <f t="shared" si="0"/>
        <v>0</v>
      </c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99"/>
      <c r="AL18" s="43"/>
      <c r="AM18" s="43"/>
      <c r="AN18" s="43"/>
      <c r="AO18" s="43"/>
      <c r="AP18" s="43"/>
      <c r="AQ18" s="43"/>
      <c r="AR18" s="43"/>
      <c r="AS18" s="43"/>
      <c r="AT18" s="43"/>
      <c r="AU18" s="44"/>
    </row>
    <row r="19" spans="2:47" s="38" customFormat="1" ht="30" customHeight="1" x14ac:dyDescent="0.2">
      <c r="B19" s="79" t="s">
        <v>25</v>
      </c>
      <c r="C19" s="65"/>
      <c r="D19" s="9"/>
      <c r="E19" s="61">
        <v>7000</v>
      </c>
      <c r="F19" s="50">
        <f t="shared" si="1"/>
        <v>0</v>
      </c>
      <c r="G19" s="95">
        <f t="shared" si="0"/>
        <v>0</v>
      </c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98"/>
      <c r="AL19" s="45"/>
      <c r="AM19" s="45"/>
      <c r="AN19" s="45"/>
      <c r="AO19" s="45"/>
      <c r="AP19" s="45"/>
      <c r="AQ19" s="45"/>
      <c r="AR19" s="45"/>
      <c r="AS19" s="45"/>
      <c r="AT19" s="45"/>
      <c r="AU19" s="60"/>
    </row>
    <row r="20" spans="2:47" s="38" customFormat="1" ht="20.100000000000001" customHeight="1" x14ac:dyDescent="0.2">
      <c r="B20" s="139" t="s">
        <v>8</v>
      </c>
      <c r="C20" s="140"/>
      <c r="D20" s="144"/>
      <c r="E20" s="146">
        <f>SUM(E6:E8,E10:E15)+E9*2</f>
        <v>61500</v>
      </c>
      <c r="F20" s="125">
        <f t="shared" ref="F20:X20" si="2">SUM(F6:F19)</f>
        <v>170500</v>
      </c>
      <c r="G20" s="125">
        <f t="shared" si="2"/>
        <v>30</v>
      </c>
      <c r="H20" s="23">
        <f t="shared" si="2"/>
        <v>2</v>
      </c>
      <c r="I20" s="23">
        <f t="shared" si="2"/>
        <v>1</v>
      </c>
      <c r="J20" s="23">
        <f t="shared" si="2"/>
        <v>1</v>
      </c>
      <c r="K20" s="23">
        <f t="shared" si="2"/>
        <v>1</v>
      </c>
      <c r="L20" s="23">
        <f t="shared" si="2"/>
        <v>2</v>
      </c>
      <c r="M20" s="23">
        <f t="shared" si="2"/>
        <v>2</v>
      </c>
      <c r="N20" s="23">
        <f t="shared" si="2"/>
        <v>1</v>
      </c>
      <c r="O20" s="23">
        <f t="shared" si="2"/>
        <v>1</v>
      </c>
      <c r="P20" s="23">
        <f t="shared" si="2"/>
        <v>1</v>
      </c>
      <c r="Q20" s="23">
        <f t="shared" si="2"/>
        <v>1</v>
      </c>
      <c r="R20" s="23">
        <f t="shared" si="2"/>
        <v>1</v>
      </c>
      <c r="S20" s="23">
        <f t="shared" si="2"/>
        <v>2</v>
      </c>
      <c r="T20" s="23">
        <f t="shared" si="2"/>
        <v>2</v>
      </c>
      <c r="U20" s="23">
        <f t="shared" si="2"/>
        <v>2</v>
      </c>
      <c r="V20" s="23">
        <f t="shared" si="2"/>
        <v>1</v>
      </c>
      <c r="W20" s="23">
        <f t="shared" si="2"/>
        <v>1</v>
      </c>
      <c r="X20" s="23">
        <f t="shared" si="2"/>
        <v>2</v>
      </c>
      <c r="Y20" s="23">
        <f t="shared" ref="Y20:AH20" si="3">SUM(Y6:Y19)</f>
        <v>1</v>
      </c>
      <c r="Z20" s="23">
        <f t="shared" si="3"/>
        <v>2</v>
      </c>
      <c r="AA20" s="23">
        <f t="shared" si="3"/>
        <v>1</v>
      </c>
      <c r="AB20" s="23">
        <f t="shared" si="3"/>
        <v>1</v>
      </c>
      <c r="AC20" s="23">
        <f t="shared" si="3"/>
        <v>1</v>
      </c>
      <c r="AD20" s="23">
        <f t="shared" si="3"/>
        <v>0</v>
      </c>
      <c r="AE20" s="23">
        <f t="shared" si="3"/>
        <v>0</v>
      </c>
      <c r="AF20" s="23">
        <f t="shared" si="3"/>
        <v>0</v>
      </c>
      <c r="AG20" s="23">
        <f t="shared" si="3"/>
        <v>0</v>
      </c>
      <c r="AH20" s="23">
        <f t="shared" si="3"/>
        <v>0</v>
      </c>
      <c r="AI20" s="23">
        <f>SUM(AI6:AI19)</f>
        <v>0</v>
      </c>
      <c r="AJ20" s="23">
        <f>SUM(AJ6:AJ19)</f>
        <v>0</v>
      </c>
      <c r="AK20" s="100">
        <f>SUM(AK6:AK19)</f>
        <v>0</v>
      </c>
      <c r="AL20" s="101">
        <f>SUM(AL6:AL19)</f>
        <v>0</v>
      </c>
      <c r="AM20" s="101">
        <f t="shared" ref="AM20:AU20" si="4">SUM(AM6:AM19)</f>
        <v>0</v>
      </c>
      <c r="AN20" s="101">
        <f t="shared" si="4"/>
        <v>0</v>
      </c>
      <c r="AO20" s="101">
        <f t="shared" si="4"/>
        <v>0</v>
      </c>
      <c r="AP20" s="101">
        <f t="shared" si="4"/>
        <v>0</v>
      </c>
      <c r="AQ20" s="101">
        <f t="shared" si="4"/>
        <v>0</v>
      </c>
      <c r="AR20" s="101">
        <f t="shared" si="4"/>
        <v>0</v>
      </c>
      <c r="AS20" s="101">
        <f t="shared" si="4"/>
        <v>0</v>
      </c>
      <c r="AT20" s="101">
        <f t="shared" si="4"/>
        <v>0</v>
      </c>
      <c r="AU20" s="102">
        <f t="shared" si="4"/>
        <v>0</v>
      </c>
    </row>
    <row r="21" spans="2:47" s="38" customFormat="1" ht="20.100000000000001" customHeight="1" x14ac:dyDescent="0.2">
      <c r="B21" s="141"/>
      <c r="C21" s="142"/>
      <c r="D21" s="145"/>
      <c r="E21" s="147"/>
      <c r="F21" s="126"/>
      <c r="G21" s="126"/>
      <c r="H21" s="46">
        <f>$E6*H6+$E7*H7+$E8*H8+$E9*H9+$E10*H10+$E11*H11+$E12*H12+$E14*H14+$E15*H15+$E16*H16+$E17*H17+$E18*H18+$E19*H19+$E13*H13</f>
        <v>11000</v>
      </c>
      <c r="I21" s="28">
        <f t="shared" ref="I21:AK21" si="5">$E6*I6+$E7*I7+$E8*I8+$E9*I9+$E10*I10+$E11*I11+$E12*I12+$E14*I14+$E15*I15+$E16*I16+$E17*I17+$E18*I18+$E19*I19+$E13*I13</f>
        <v>6000</v>
      </c>
      <c r="J21" s="28">
        <f t="shared" si="5"/>
        <v>6500</v>
      </c>
      <c r="K21" s="28">
        <f t="shared" si="5"/>
        <v>6000</v>
      </c>
      <c r="L21" s="28">
        <f t="shared" si="5"/>
        <v>11000</v>
      </c>
      <c r="M21" s="28">
        <f t="shared" si="5"/>
        <v>14000</v>
      </c>
      <c r="N21" s="28">
        <f t="shared" si="5"/>
        <v>5500</v>
      </c>
      <c r="O21" s="28">
        <f t="shared" si="5"/>
        <v>6500</v>
      </c>
      <c r="P21" s="28">
        <f t="shared" si="5"/>
        <v>6500</v>
      </c>
      <c r="Q21" s="28">
        <f t="shared" si="5"/>
        <v>5500</v>
      </c>
      <c r="R21" s="28">
        <f t="shared" si="5"/>
        <v>6000</v>
      </c>
      <c r="S21" s="28">
        <f t="shared" si="5"/>
        <v>11000</v>
      </c>
      <c r="T21" s="28">
        <f t="shared" si="5"/>
        <v>11000</v>
      </c>
      <c r="U21" s="28">
        <f t="shared" si="5"/>
        <v>9500</v>
      </c>
      <c r="V21" s="28">
        <f t="shared" si="5"/>
        <v>5500</v>
      </c>
      <c r="W21" s="28">
        <f t="shared" si="5"/>
        <v>5500</v>
      </c>
      <c r="X21" s="28">
        <f t="shared" si="5"/>
        <v>11000</v>
      </c>
      <c r="Y21" s="28">
        <f t="shared" si="5"/>
        <v>5500</v>
      </c>
      <c r="Z21" s="28">
        <f t="shared" si="5"/>
        <v>11000</v>
      </c>
      <c r="AA21" s="28">
        <f t="shared" si="5"/>
        <v>6000</v>
      </c>
      <c r="AB21" s="28">
        <f t="shared" si="5"/>
        <v>6000</v>
      </c>
      <c r="AC21" s="28">
        <f t="shared" si="5"/>
        <v>4000</v>
      </c>
      <c r="AD21" s="28">
        <f t="shared" si="5"/>
        <v>0</v>
      </c>
      <c r="AE21" s="28">
        <f t="shared" si="5"/>
        <v>0</v>
      </c>
      <c r="AF21" s="28">
        <f t="shared" si="5"/>
        <v>0</v>
      </c>
      <c r="AG21" s="28">
        <f t="shared" si="5"/>
        <v>0</v>
      </c>
      <c r="AH21" s="28">
        <f t="shared" si="5"/>
        <v>0</v>
      </c>
      <c r="AI21" s="28">
        <f t="shared" si="5"/>
        <v>0</v>
      </c>
      <c r="AJ21" s="28">
        <f t="shared" si="5"/>
        <v>0</v>
      </c>
      <c r="AK21" s="74">
        <f t="shared" si="5"/>
        <v>0</v>
      </c>
      <c r="AL21" s="28">
        <f>$E6*AL6+$E7*AL7+$E8*AL8+$E9*AL9+$E10*AL10+$E11*AL11+$E12*AL12+$E14*AL14+$E15*AL15+$E16*AL16+$E17*AL17+$E18*AL18+$E19*AL19+$E13*AL13</f>
        <v>0</v>
      </c>
      <c r="AM21" s="28">
        <f>$E6*AM6+$E7*AM7+$E8*AM8+$E9*AM9+$E10*AM10+$E11*AM11+$E12*AM12+$E14*AM14+$E15*AM15+$E16*AM16+$E17*AM17+$E18*AM18+$E19*AM19+$E13*AM13</f>
        <v>0</v>
      </c>
      <c r="AN21" s="28">
        <f>$E6*AN6+$E7*AN7+$E8*AN8+$E9*AN9+$E10*AN10+$E11*AN11+$E12*AN12+$E14*AN14+$E15*AN15+$E16*AN16+$E17*AN17+$E18*AN18+$E19*AN19+$E13*AN13</f>
        <v>0</v>
      </c>
      <c r="AO21" s="28">
        <f t="shared" ref="AO21:AU21" si="6">$E6*AO6+$E7*AO7+$E8*AO8+$E9*AO9+$E10*AO10+$E11*AO11+$E12*AO12+$E14*AO14+$E15*AO15+$E16*AO16+$E17*AO17+$E18*AO18+$E19*AO19+$E13*AO13</f>
        <v>0</v>
      </c>
      <c r="AP21" s="28">
        <f t="shared" si="6"/>
        <v>0</v>
      </c>
      <c r="AQ21" s="28">
        <f t="shared" si="6"/>
        <v>0</v>
      </c>
      <c r="AR21" s="28">
        <f t="shared" si="6"/>
        <v>0</v>
      </c>
      <c r="AS21" s="28">
        <f t="shared" si="6"/>
        <v>0</v>
      </c>
      <c r="AT21" s="28">
        <f t="shared" si="6"/>
        <v>0</v>
      </c>
      <c r="AU21" s="29">
        <f t="shared" si="6"/>
        <v>0</v>
      </c>
    </row>
  </sheetData>
  <sheetProtection password="CC67" sheet="1" objects="1" scenarios="1"/>
  <mergeCells count="10">
    <mergeCell ref="B2:G2"/>
    <mergeCell ref="E20:E21"/>
    <mergeCell ref="F20:F21"/>
    <mergeCell ref="G20:G21"/>
    <mergeCell ref="B4:B5"/>
    <mergeCell ref="E4:E5"/>
    <mergeCell ref="F4:F5"/>
    <mergeCell ref="D4:D5"/>
    <mergeCell ref="C4:C5"/>
    <mergeCell ref="B20:D21"/>
  </mergeCells>
  <phoneticPr fontId="2" type="noConversion"/>
  <pageMargins left="0.7" right="0.7" top="0.75" bottom="0.75" header="0.3" footer="0.3"/>
  <pageSetup paperSize="9" scale="3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AU21"/>
  <sheetViews>
    <sheetView showGridLines="0" zoomScale="85" zoomScaleNormal="85" workbookViewId="0">
      <pane xSplit="7" ySplit="5" topLeftCell="N6" activePane="bottomRight" state="frozen"/>
      <selection pane="topRight" activeCell="G1" sqref="G1"/>
      <selection pane="bottomLeft" activeCell="A6" sqref="A6"/>
      <selection pane="bottomRight" activeCell="C6" sqref="C6:D15"/>
    </sheetView>
  </sheetViews>
  <sheetFormatPr defaultColWidth="9.125" defaultRowHeight="14.25" x14ac:dyDescent="0.2"/>
  <cols>
    <col min="1" max="1" width="0.375" style="1" customWidth="1"/>
    <col min="2" max="2" width="16.875" style="1" bestFit="1" customWidth="1"/>
    <col min="3" max="4" width="13.625" style="1" customWidth="1"/>
    <col min="5" max="5" width="10.625" style="1" hidden="1" customWidth="1"/>
    <col min="6" max="6" width="10.625" style="1" customWidth="1"/>
    <col min="7" max="7" width="10.625" style="3" customWidth="1"/>
    <col min="8" max="22" width="10.625" style="4" customWidth="1"/>
    <col min="23" max="47" width="10.625" style="1" customWidth="1"/>
    <col min="48" max="16384" width="9.125" style="1"/>
  </cols>
  <sheetData>
    <row r="1" spans="2:47" ht="3.75" customHeight="1" x14ac:dyDescent="0.2"/>
    <row r="2" spans="2:47" ht="20.25" x14ac:dyDescent="0.2">
      <c r="B2" s="149" t="s">
        <v>26</v>
      </c>
      <c r="C2" s="149"/>
      <c r="D2" s="149"/>
      <c r="E2" s="149"/>
      <c r="F2" s="149"/>
      <c r="G2" s="149"/>
    </row>
    <row r="3" spans="2:47" ht="4.9000000000000004" customHeight="1" x14ac:dyDescent="0.2"/>
    <row r="4" spans="2:47" s="38" customFormat="1" ht="20.100000000000001" customHeight="1" x14ac:dyDescent="0.2">
      <c r="B4" s="150" t="s">
        <v>3</v>
      </c>
      <c r="C4" s="123" t="s">
        <v>45</v>
      </c>
      <c r="D4" s="153" t="s">
        <v>46</v>
      </c>
      <c r="E4" s="135" t="s">
        <v>4</v>
      </c>
      <c r="F4" s="129" t="s">
        <v>5</v>
      </c>
      <c r="G4" s="32" t="s">
        <v>0</v>
      </c>
      <c r="H4" s="33">
        <v>1</v>
      </c>
      <c r="I4" s="34">
        <v>2</v>
      </c>
      <c r="J4" s="34">
        <v>3</v>
      </c>
      <c r="K4" s="34">
        <v>4</v>
      </c>
      <c r="L4" s="34">
        <v>5</v>
      </c>
      <c r="M4" s="34">
        <v>6</v>
      </c>
      <c r="N4" s="34">
        <v>7</v>
      </c>
      <c r="O4" s="34">
        <v>8</v>
      </c>
      <c r="P4" s="34">
        <v>9</v>
      </c>
      <c r="Q4" s="34">
        <v>10</v>
      </c>
      <c r="R4" s="34">
        <v>11</v>
      </c>
      <c r="S4" s="34">
        <v>12</v>
      </c>
      <c r="T4" s="34">
        <v>13</v>
      </c>
      <c r="U4" s="34">
        <v>14</v>
      </c>
      <c r="V4" s="34">
        <v>15</v>
      </c>
      <c r="W4" s="34">
        <v>16</v>
      </c>
      <c r="X4" s="34">
        <v>17</v>
      </c>
      <c r="Y4" s="33">
        <v>18</v>
      </c>
      <c r="Z4" s="34">
        <v>19</v>
      </c>
      <c r="AA4" s="34">
        <v>20</v>
      </c>
      <c r="AB4" s="34">
        <v>21</v>
      </c>
      <c r="AC4" s="34">
        <v>22</v>
      </c>
      <c r="AD4" s="34">
        <v>23</v>
      </c>
      <c r="AE4" s="34">
        <v>24</v>
      </c>
      <c r="AF4" s="34">
        <v>25</v>
      </c>
      <c r="AG4" s="34">
        <v>26</v>
      </c>
      <c r="AH4" s="34">
        <v>27</v>
      </c>
      <c r="AI4" s="34">
        <v>28</v>
      </c>
      <c r="AJ4" s="34">
        <v>29</v>
      </c>
      <c r="AK4" s="96">
        <v>30</v>
      </c>
      <c r="AL4" s="34">
        <v>31</v>
      </c>
      <c r="AM4" s="34">
        <v>32</v>
      </c>
      <c r="AN4" s="34">
        <v>33</v>
      </c>
      <c r="AO4" s="34">
        <v>34</v>
      </c>
      <c r="AP4" s="34">
        <v>35</v>
      </c>
      <c r="AQ4" s="34">
        <v>36</v>
      </c>
      <c r="AR4" s="34">
        <v>37</v>
      </c>
      <c r="AS4" s="34">
        <v>38</v>
      </c>
      <c r="AT4" s="34">
        <v>39</v>
      </c>
      <c r="AU4" s="35">
        <v>40</v>
      </c>
    </row>
    <row r="5" spans="2:47" s="38" customFormat="1" ht="20.100000000000001" customHeight="1" x14ac:dyDescent="0.2">
      <c r="B5" s="151"/>
      <c r="C5" s="152"/>
      <c r="D5" s="154"/>
      <c r="E5" s="136"/>
      <c r="F5" s="130"/>
      <c r="G5" s="36" t="s">
        <v>1</v>
      </c>
      <c r="H5" s="37">
        <v>1001</v>
      </c>
      <c r="I5" s="37">
        <v>617</v>
      </c>
      <c r="J5" s="37">
        <v>1018</v>
      </c>
      <c r="K5" s="37">
        <v>614</v>
      </c>
      <c r="L5" s="37">
        <v>1230</v>
      </c>
      <c r="M5" s="37">
        <v>1614</v>
      </c>
      <c r="N5" s="37">
        <v>1430</v>
      </c>
      <c r="O5" s="37">
        <v>1120</v>
      </c>
      <c r="P5" s="37">
        <v>1402</v>
      </c>
      <c r="Q5" s="37">
        <v>618</v>
      </c>
      <c r="R5" s="37">
        <v>1125</v>
      </c>
      <c r="S5" s="37">
        <v>1715</v>
      </c>
      <c r="T5" s="37">
        <v>1506</v>
      </c>
      <c r="U5" s="37">
        <v>1414</v>
      </c>
      <c r="V5" s="37">
        <v>1203</v>
      </c>
      <c r="W5" s="37">
        <v>724</v>
      </c>
      <c r="X5" s="37">
        <v>1529</v>
      </c>
      <c r="Y5" s="37">
        <v>1228</v>
      </c>
      <c r="Z5" s="37">
        <v>1123</v>
      </c>
      <c r="AA5" s="37">
        <v>1019</v>
      </c>
      <c r="AB5" s="37"/>
      <c r="AC5" s="37"/>
      <c r="AD5" s="37"/>
      <c r="AE5" s="37"/>
      <c r="AF5" s="37"/>
      <c r="AG5" s="37"/>
      <c r="AH5" s="37"/>
      <c r="AI5" s="37"/>
      <c r="AJ5" s="37"/>
      <c r="AK5" s="94"/>
      <c r="AL5" s="7"/>
      <c r="AM5" s="7"/>
      <c r="AN5" s="7"/>
      <c r="AO5" s="7"/>
      <c r="AP5" s="7"/>
      <c r="AQ5" s="7"/>
      <c r="AR5" s="7"/>
      <c r="AS5" s="7"/>
      <c r="AT5" s="7"/>
      <c r="AU5" s="9"/>
    </row>
    <row r="6" spans="2:47" s="38" customFormat="1" ht="30" customHeight="1" x14ac:dyDescent="0.2">
      <c r="B6" s="77" t="s">
        <v>12</v>
      </c>
      <c r="C6" s="62" t="s">
        <v>53</v>
      </c>
      <c r="D6" s="35"/>
      <c r="E6" s="39">
        <v>6000</v>
      </c>
      <c r="F6" s="12">
        <f>E6*G6</f>
        <v>42000</v>
      </c>
      <c r="G6" s="95">
        <f t="shared" ref="G6:G19" si="0">SUM(H6:AU6)</f>
        <v>7</v>
      </c>
      <c r="H6" s="40"/>
      <c r="I6" s="40"/>
      <c r="J6" s="40"/>
      <c r="K6" s="40">
        <v>1</v>
      </c>
      <c r="L6" s="40"/>
      <c r="M6" s="40">
        <v>1</v>
      </c>
      <c r="N6" s="40"/>
      <c r="O6" s="40"/>
      <c r="P6" s="40"/>
      <c r="Q6" s="40">
        <v>1</v>
      </c>
      <c r="R6" s="40"/>
      <c r="S6" s="40">
        <v>1</v>
      </c>
      <c r="T6" s="40">
        <v>1</v>
      </c>
      <c r="U6" s="40"/>
      <c r="V6" s="40"/>
      <c r="W6" s="40"/>
      <c r="X6" s="40"/>
      <c r="Y6" s="40"/>
      <c r="Z6" s="40">
        <v>1</v>
      </c>
      <c r="AA6" s="40">
        <v>1</v>
      </c>
      <c r="AB6" s="40"/>
      <c r="AC6" s="40"/>
      <c r="AD6" s="40"/>
      <c r="AE6" s="40"/>
      <c r="AF6" s="40"/>
      <c r="AG6" s="40"/>
      <c r="AH6" s="40"/>
      <c r="AI6" s="40"/>
      <c r="AJ6" s="40"/>
      <c r="AK6" s="97"/>
      <c r="AL6" s="40"/>
      <c r="AM6" s="40"/>
      <c r="AN6" s="40"/>
      <c r="AO6" s="40"/>
      <c r="AP6" s="40"/>
      <c r="AQ6" s="40"/>
      <c r="AR6" s="40"/>
      <c r="AS6" s="40"/>
      <c r="AT6" s="40"/>
      <c r="AU6" s="41"/>
    </row>
    <row r="7" spans="2:47" s="38" customFormat="1" ht="30" customHeight="1" x14ac:dyDescent="0.2">
      <c r="B7" s="78" t="s">
        <v>13</v>
      </c>
      <c r="C7" s="63" t="s">
        <v>54</v>
      </c>
      <c r="D7" s="64"/>
      <c r="E7" s="42">
        <v>6500</v>
      </c>
      <c r="F7" s="18">
        <f t="shared" ref="F7:F19" si="1">E7*G7</f>
        <v>26000</v>
      </c>
      <c r="G7" s="95">
        <f t="shared" si="0"/>
        <v>4</v>
      </c>
      <c r="H7" s="43"/>
      <c r="I7" s="43"/>
      <c r="J7" s="43">
        <v>1</v>
      </c>
      <c r="K7" s="43">
        <v>1</v>
      </c>
      <c r="L7" s="43"/>
      <c r="M7" s="43"/>
      <c r="N7" s="43"/>
      <c r="O7" s="43">
        <v>1</v>
      </c>
      <c r="P7" s="43"/>
      <c r="Q7" s="43"/>
      <c r="R7" s="43"/>
      <c r="S7" s="43">
        <v>1</v>
      </c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98"/>
      <c r="AL7" s="43"/>
      <c r="AM7" s="43"/>
      <c r="AN7" s="43"/>
      <c r="AO7" s="43"/>
      <c r="AP7" s="43"/>
      <c r="AQ7" s="43"/>
      <c r="AR7" s="43"/>
      <c r="AS7" s="43"/>
      <c r="AT7" s="43"/>
      <c r="AU7" s="44"/>
    </row>
    <row r="8" spans="2:47" s="38" customFormat="1" ht="30" customHeight="1" x14ac:dyDescent="0.2">
      <c r="B8" s="78" t="s">
        <v>14</v>
      </c>
      <c r="C8" s="63" t="s">
        <v>55</v>
      </c>
      <c r="D8" s="64" t="s">
        <v>56</v>
      </c>
      <c r="E8" s="42">
        <v>7000</v>
      </c>
      <c r="F8" s="18">
        <f t="shared" si="1"/>
        <v>49000</v>
      </c>
      <c r="G8" s="95">
        <f t="shared" si="0"/>
        <v>7</v>
      </c>
      <c r="H8" s="43">
        <v>2</v>
      </c>
      <c r="I8" s="43"/>
      <c r="J8" s="43">
        <v>1</v>
      </c>
      <c r="K8" s="43">
        <v>1</v>
      </c>
      <c r="L8" s="43"/>
      <c r="M8" s="43"/>
      <c r="N8" s="43"/>
      <c r="O8" s="43"/>
      <c r="P8" s="43">
        <v>1</v>
      </c>
      <c r="Q8" s="43">
        <v>1</v>
      </c>
      <c r="R8" s="43"/>
      <c r="S8" s="43"/>
      <c r="T8" s="43"/>
      <c r="U8" s="43"/>
      <c r="V8" s="43"/>
      <c r="W8" s="43"/>
      <c r="X8" s="43"/>
      <c r="Y8" s="43"/>
      <c r="Z8" s="43"/>
      <c r="AA8" s="43">
        <v>1</v>
      </c>
      <c r="AB8" s="43"/>
      <c r="AC8" s="43"/>
      <c r="AD8" s="43"/>
      <c r="AE8" s="43"/>
      <c r="AF8" s="43"/>
      <c r="AG8" s="43"/>
      <c r="AH8" s="43"/>
      <c r="AI8" s="43"/>
      <c r="AJ8" s="43"/>
      <c r="AK8" s="98"/>
      <c r="AL8" s="43"/>
      <c r="AM8" s="43"/>
      <c r="AN8" s="43"/>
      <c r="AO8" s="43"/>
      <c r="AP8" s="43"/>
      <c r="AQ8" s="43"/>
      <c r="AR8" s="43"/>
      <c r="AS8" s="43"/>
      <c r="AT8" s="43"/>
      <c r="AU8" s="44"/>
    </row>
    <row r="9" spans="2:47" s="38" customFormat="1" ht="30" customHeight="1" x14ac:dyDescent="0.2">
      <c r="B9" s="78" t="s">
        <v>15</v>
      </c>
      <c r="C9" s="63" t="s">
        <v>57</v>
      </c>
      <c r="D9" s="64"/>
      <c r="E9" s="42">
        <v>5500</v>
      </c>
      <c r="F9" s="18">
        <f t="shared" si="1"/>
        <v>38500</v>
      </c>
      <c r="G9" s="95">
        <f t="shared" si="0"/>
        <v>7</v>
      </c>
      <c r="H9" s="43"/>
      <c r="I9" s="43">
        <v>1</v>
      </c>
      <c r="J9" s="43"/>
      <c r="K9" s="43">
        <v>1</v>
      </c>
      <c r="L9" s="43"/>
      <c r="M9" s="43">
        <v>1</v>
      </c>
      <c r="N9" s="43"/>
      <c r="O9" s="43"/>
      <c r="P9" s="43"/>
      <c r="Q9" s="43"/>
      <c r="R9" s="43"/>
      <c r="S9" s="43"/>
      <c r="T9" s="43"/>
      <c r="U9" s="43"/>
      <c r="V9" s="43"/>
      <c r="W9" s="43">
        <v>1</v>
      </c>
      <c r="X9" s="43"/>
      <c r="Y9" s="43">
        <v>2</v>
      </c>
      <c r="Z9" s="43">
        <v>1</v>
      </c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98"/>
      <c r="AL9" s="43"/>
      <c r="AM9" s="43"/>
      <c r="AN9" s="43"/>
      <c r="AO9" s="43"/>
      <c r="AP9" s="43"/>
      <c r="AQ9" s="43"/>
      <c r="AR9" s="43"/>
      <c r="AS9" s="43"/>
      <c r="AT9" s="43"/>
      <c r="AU9" s="44"/>
    </row>
    <row r="10" spans="2:47" s="38" customFormat="1" ht="30" customHeight="1" x14ac:dyDescent="0.2">
      <c r="B10" s="78" t="s">
        <v>16</v>
      </c>
      <c r="C10" s="63" t="s">
        <v>58</v>
      </c>
      <c r="D10" s="64"/>
      <c r="E10" s="42">
        <v>4000</v>
      </c>
      <c r="F10" s="18">
        <f t="shared" si="1"/>
        <v>4000</v>
      </c>
      <c r="G10" s="95">
        <f t="shared" si="0"/>
        <v>1</v>
      </c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>
        <v>1</v>
      </c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98"/>
      <c r="AL10" s="43"/>
      <c r="AM10" s="43"/>
      <c r="AN10" s="43"/>
      <c r="AO10" s="43"/>
      <c r="AP10" s="43"/>
      <c r="AQ10" s="43"/>
      <c r="AR10" s="43"/>
      <c r="AS10" s="43"/>
      <c r="AT10" s="43"/>
      <c r="AU10" s="44"/>
    </row>
    <row r="11" spans="2:47" s="38" customFormat="1" ht="30" customHeight="1" x14ac:dyDescent="0.2">
      <c r="B11" s="78" t="s">
        <v>17</v>
      </c>
      <c r="C11" s="63" t="s">
        <v>59</v>
      </c>
      <c r="D11" s="64"/>
      <c r="E11" s="42">
        <v>4000</v>
      </c>
      <c r="F11" s="18">
        <f t="shared" si="1"/>
        <v>20000</v>
      </c>
      <c r="G11" s="95">
        <f t="shared" si="0"/>
        <v>5</v>
      </c>
      <c r="H11" s="43"/>
      <c r="I11" s="43"/>
      <c r="J11" s="43"/>
      <c r="K11" s="43">
        <v>1</v>
      </c>
      <c r="L11" s="43">
        <v>1</v>
      </c>
      <c r="M11" s="43">
        <v>1</v>
      </c>
      <c r="N11" s="43"/>
      <c r="O11" s="43"/>
      <c r="P11" s="43"/>
      <c r="Q11" s="43">
        <v>1</v>
      </c>
      <c r="R11" s="43">
        <v>1</v>
      </c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98"/>
      <c r="AL11" s="43"/>
      <c r="AM11" s="43"/>
      <c r="AN11" s="43"/>
      <c r="AO11" s="43"/>
      <c r="AP11" s="43"/>
      <c r="AQ11" s="43"/>
      <c r="AR11" s="43"/>
      <c r="AS11" s="43"/>
      <c r="AT11" s="43"/>
      <c r="AU11" s="44"/>
    </row>
    <row r="12" spans="2:47" s="38" customFormat="1" ht="30" customHeight="1" x14ac:dyDescent="0.2">
      <c r="B12" s="78" t="s">
        <v>18</v>
      </c>
      <c r="C12" s="63" t="s">
        <v>60</v>
      </c>
      <c r="D12" s="64"/>
      <c r="E12" s="42">
        <v>4000</v>
      </c>
      <c r="F12" s="18">
        <f t="shared" si="1"/>
        <v>4000</v>
      </c>
      <c r="G12" s="95">
        <f t="shared" si="0"/>
        <v>1</v>
      </c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>
        <v>1</v>
      </c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98"/>
      <c r="AL12" s="43"/>
      <c r="AM12" s="43"/>
      <c r="AN12" s="43"/>
      <c r="AO12" s="43"/>
      <c r="AP12" s="43"/>
      <c r="AQ12" s="43"/>
      <c r="AR12" s="43"/>
      <c r="AS12" s="43"/>
      <c r="AT12" s="43"/>
      <c r="AU12" s="44"/>
    </row>
    <row r="13" spans="2:47" s="38" customFormat="1" ht="30" customHeight="1" x14ac:dyDescent="0.2">
      <c r="B13" s="78" t="s">
        <v>19</v>
      </c>
      <c r="C13" s="63" t="s">
        <v>59</v>
      </c>
      <c r="D13" s="64"/>
      <c r="E13" s="42">
        <v>5000</v>
      </c>
      <c r="F13" s="18">
        <f t="shared" si="1"/>
        <v>0</v>
      </c>
      <c r="G13" s="95">
        <f t="shared" si="0"/>
        <v>0</v>
      </c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99"/>
      <c r="AL13" s="43"/>
      <c r="AM13" s="43"/>
      <c r="AN13" s="43"/>
      <c r="AO13" s="43"/>
      <c r="AP13" s="43"/>
      <c r="AQ13" s="43"/>
      <c r="AR13" s="43"/>
      <c r="AS13" s="43"/>
      <c r="AT13" s="43"/>
      <c r="AU13" s="44"/>
    </row>
    <row r="14" spans="2:47" s="38" customFormat="1" ht="30" customHeight="1" x14ac:dyDescent="0.2">
      <c r="B14" s="78" t="s">
        <v>20</v>
      </c>
      <c r="C14" s="63" t="s">
        <v>53</v>
      </c>
      <c r="D14" s="64"/>
      <c r="E14" s="42">
        <v>7000</v>
      </c>
      <c r="F14" s="18">
        <f t="shared" si="1"/>
        <v>21000</v>
      </c>
      <c r="G14" s="95">
        <f t="shared" si="0"/>
        <v>3</v>
      </c>
      <c r="H14" s="43"/>
      <c r="I14" s="43"/>
      <c r="J14" s="43"/>
      <c r="K14" s="43">
        <v>1</v>
      </c>
      <c r="L14" s="43"/>
      <c r="M14" s="43"/>
      <c r="N14" s="43">
        <v>1</v>
      </c>
      <c r="O14" s="43"/>
      <c r="P14" s="43"/>
      <c r="Q14" s="43"/>
      <c r="R14" s="43"/>
      <c r="S14" s="43"/>
      <c r="T14" s="43"/>
      <c r="U14" s="43">
        <v>1</v>
      </c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98"/>
      <c r="AL14" s="43"/>
      <c r="AM14" s="43"/>
      <c r="AN14" s="43"/>
      <c r="AO14" s="43"/>
      <c r="AP14" s="43"/>
      <c r="AQ14" s="43"/>
      <c r="AR14" s="43"/>
      <c r="AS14" s="43"/>
      <c r="AT14" s="43"/>
      <c r="AU14" s="44"/>
    </row>
    <row r="15" spans="2:47" s="38" customFormat="1" ht="30" customHeight="1" x14ac:dyDescent="0.2">
      <c r="B15" s="78" t="s">
        <v>21</v>
      </c>
      <c r="C15" s="63" t="s">
        <v>61</v>
      </c>
      <c r="D15" s="64"/>
      <c r="E15" s="42">
        <v>7000</v>
      </c>
      <c r="F15" s="18">
        <f t="shared" si="1"/>
        <v>35000</v>
      </c>
      <c r="G15" s="95">
        <f t="shared" si="0"/>
        <v>5</v>
      </c>
      <c r="H15" s="43"/>
      <c r="I15" s="43"/>
      <c r="J15" s="43"/>
      <c r="K15" s="43">
        <v>1</v>
      </c>
      <c r="L15" s="43"/>
      <c r="M15" s="43">
        <v>1</v>
      </c>
      <c r="N15" s="43"/>
      <c r="O15" s="43"/>
      <c r="P15" s="43"/>
      <c r="Q15" s="43"/>
      <c r="R15" s="43"/>
      <c r="S15" s="43"/>
      <c r="T15" s="43">
        <v>1</v>
      </c>
      <c r="U15" s="43">
        <v>1</v>
      </c>
      <c r="V15" s="43"/>
      <c r="W15" s="43">
        <v>1</v>
      </c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98"/>
      <c r="AL15" s="43"/>
      <c r="AM15" s="43"/>
      <c r="AN15" s="43"/>
      <c r="AO15" s="43"/>
      <c r="AP15" s="43"/>
      <c r="AQ15" s="43"/>
      <c r="AR15" s="43"/>
      <c r="AS15" s="43"/>
      <c r="AT15" s="43"/>
      <c r="AU15" s="44"/>
    </row>
    <row r="16" spans="2:47" s="38" customFormat="1" ht="30" customHeight="1" x14ac:dyDescent="0.2">
      <c r="B16" s="78" t="s">
        <v>22</v>
      </c>
      <c r="C16" s="63"/>
      <c r="D16" s="64"/>
      <c r="E16" s="42">
        <v>7000</v>
      </c>
      <c r="F16" s="18">
        <f t="shared" si="1"/>
        <v>0</v>
      </c>
      <c r="G16" s="95">
        <f t="shared" si="0"/>
        <v>0</v>
      </c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98"/>
      <c r="AL16" s="43"/>
      <c r="AM16" s="43"/>
      <c r="AN16" s="43"/>
      <c r="AO16" s="43"/>
      <c r="AP16" s="43"/>
      <c r="AQ16" s="43"/>
      <c r="AR16" s="43"/>
      <c r="AS16" s="43"/>
      <c r="AT16" s="43"/>
      <c r="AU16" s="44"/>
    </row>
    <row r="17" spans="2:47" s="38" customFormat="1" ht="30" customHeight="1" x14ac:dyDescent="0.2">
      <c r="B17" s="78" t="s">
        <v>23</v>
      </c>
      <c r="C17" s="63"/>
      <c r="D17" s="64"/>
      <c r="E17" s="42">
        <v>7000</v>
      </c>
      <c r="F17" s="18">
        <f t="shared" si="1"/>
        <v>0</v>
      </c>
      <c r="G17" s="95">
        <f t="shared" si="0"/>
        <v>0</v>
      </c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98"/>
      <c r="AL17" s="43"/>
      <c r="AM17" s="43"/>
      <c r="AN17" s="43"/>
      <c r="AO17" s="43"/>
      <c r="AP17" s="43"/>
      <c r="AQ17" s="43"/>
      <c r="AR17" s="43"/>
      <c r="AS17" s="43"/>
      <c r="AT17" s="43"/>
      <c r="AU17" s="44"/>
    </row>
    <row r="18" spans="2:47" s="38" customFormat="1" ht="30" customHeight="1" x14ac:dyDescent="0.2">
      <c r="B18" s="78" t="s">
        <v>24</v>
      </c>
      <c r="C18" s="63"/>
      <c r="D18" s="64"/>
      <c r="E18" s="42">
        <v>7000</v>
      </c>
      <c r="F18" s="18">
        <f t="shared" si="1"/>
        <v>0</v>
      </c>
      <c r="G18" s="95">
        <f t="shared" si="0"/>
        <v>0</v>
      </c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99"/>
      <c r="AL18" s="43"/>
      <c r="AM18" s="43"/>
      <c r="AN18" s="43"/>
      <c r="AO18" s="43"/>
      <c r="AP18" s="43"/>
      <c r="AQ18" s="43"/>
      <c r="AR18" s="43"/>
      <c r="AS18" s="43"/>
      <c r="AT18" s="43"/>
      <c r="AU18" s="44"/>
    </row>
    <row r="19" spans="2:47" s="38" customFormat="1" ht="30" customHeight="1" x14ac:dyDescent="0.2">
      <c r="B19" s="79" t="s">
        <v>25</v>
      </c>
      <c r="C19" s="65"/>
      <c r="D19" s="9"/>
      <c r="E19" s="61">
        <v>7000</v>
      </c>
      <c r="F19" s="50">
        <f t="shared" si="1"/>
        <v>0</v>
      </c>
      <c r="G19" s="95">
        <f t="shared" si="0"/>
        <v>0</v>
      </c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98"/>
      <c r="AL19" s="45"/>
      <c r="AM19" s="45"/>
      <c r="AN19" s="45"/>
      <c r="AO19" s="45"/>
      <c r="AP19" s="45"/>
      <c r="AQ19" s="45"/>
      <c r="AR19" s="45"/>
      <c r="AS19" s="45"/>
      <c r="AT19" s="45"/>
      <c r="AU19" s="60"/>
    </row>
    <row r="20" spans="2:47" s="38" customFormat="1" ht="20.100000000000001" customHeight="1" x14ac:dyDescent="0.2">
      <c r="B20" s="139" t="s">
        <v>8</v>
      </c>
      <c r="C20" s="140"/>
      <c r="D20" s="144"/>
      <c r="E20" s="146">
        <f>SUM(E6:E8,E10:E15)+E9*2</f>
        <v>61500</v>
      </c>
      <c r="F20" s="125">
        <f t="shared" ref="F20:X20" si="2">SUM(F6:F19)</f>
        <v>239500</v>
      </c>
      <c r="G20" s="125">
        <f t="shared" si="2"/>
        <v>40</v>
      </c>
      <c r="H20" s="23">
        <f t="shared" si="2"/>
        <v>2</v>
      </c>
      <c r="I20" s="23">
        <f t="shared" si="2"/>
        <v>1</v>
      </c>
      <c r="J20" s="23">
        <f t="shared" si="2"/>
        <v>2</v>
      </c>
      <c r="K20" s="23">
        <f t="shared" si="2"/>
        <v>7</v>
      </c>
      <c r="L20" s="23">
        <f t="shared" si="2"/>
        <v>1</v>
      </c>
      <c r="M20" s="23">
        <f t="shared" si="2"/>
        <v>4</v>
      </c>
      <c r="N20" s="23">
        <f t="shared" si="2"/>
        <v>1</v>
      </c>
      <c r="O20" s="23">
        <f t="shared" si="2"/>
        <v>1</v>
      </c>
      <c r="P20" s="23">
        <f t="shared" si="2"/>
        <v>1</v>
      </c>
      <c r="Q20" s="23">
        <f t="shared" si="2"/>
        <v>3</v>
      </c>
      <c r="R20" s="23">
        <f t="shared" si="2"/>
        <v>1</v>
      </c>
      <c r="S20" s="23">
        <f t="shared" si="2"/>
        <v>2</v>
      </c>
      <c r="T20" s="23">
        <f t="shared" si="2"/>
        <v>2</v>
      </c>
      <c r="U20" s="23">
        <f t="shared" si="2"/>
        <v>2</v>
      </c>
      <c r="V20" s="23">
        <f t="shared" si="2"/>
        <v>1</v>
      </c>
      <c r="W20" s="23">
        <f t="shared" si="2"/>
        <v>2</v>
      </c>
      <c r="X20" s="23">
        <f t="shared" si="2"/>
        <v>1</v>
      </c>
      <c r="Y20" s="23">
        <f t="shared" ref="Y20:AH20" si="3">SUM(Y6:Y19)</f>
        <v>2</v>
      </c>
      <c r="Z20" s="23">
        <f t="shared" si="3"/>
        <v>2</v>
      </c>
      <c r="AA20" s="23">
        <f t="shared" si="3"/>
        <v>2</v>
      </c>
      <c r="AB20" s="23">
        <f t="shared" si="3"/>
        <v>0</v>
      </c>
      <c r="AC20" s="23">
        <f t="shared" si="3"/>
        <v>0</v>
      </c>
      <c r="AD20" s="23">
        <f t="shared" si="3"/>
        <v>0</v>
      </c>
      <c r="AE20" s="23">
        <f t="shared" si="3"/>
        <v>0</v>
      </c>
      <c r="AF20" s="23">
        <f t="shared" si="3"/>
        <v>0</v>
      </c>
      <c r="AG20" s="23">
        <f t="shared" si="3"/>
        <v>0</v>
      </c>
      <c r="AH20" s="23">
        <f t="shared" si="3"/>
        <v>0</v>
      </c>
      <c r="AI20" s="23">
        <f>SUM(AI6:AI19)</f>
        <v>0</v>
      </c>
      <c r="AJ20" s="23">
        <f>SUM(AJ6:AJ19)</f>
        <v>0</v>
      </c>
      <c r="AK20" s="100">
        <f>SUM(AK6:AK19)</f>
        <v>0</v>
      </c>
      <c r="AL20" s="101">
        <f>SUM(AL6:AL19)</f>
        <v>0</v>
      </c>
      <c r="AM20" s="101">
        <f t="shared" ref="AM20:AU20" si="4">SUM(AM6:AM19)</f>
        <v>0</v>
      </c>
      <c r="AN20" s="101">
        <f t="shared" si="4"/>
        <v>0</v>
      </c>
      <c r="AO20" s="101">
        <f t="shared" si="4"/>
        <v>0</v>
      </c>
      <c r="AP20" s="101">
        <f t="shared" si="4"/>
        <v>0</v>
      </c>
      <c r="AQ20" s="101">
        <f t="shared" si="4"/>
        <v>0</v>
      </c>
      <c r="AR20" s="101">
        <f t="shared" si="4"/>
        <v>0</v>
      </c>
      <c r="AS20" s="101">
        <f t="shared" si="4"/>
        <v>0</v>
      </c>
      <c r="AT20" s="101">
        <f t="shared" si="4"/>
        <v>0</v>
      </c>
      <c r="AU20" s="102">
        <f t="shared" si="4"/>
        <v>0</v>
      </c>
    </row>
    <row r="21" spans="2:47" s="38" customFormat="1" ht="20.100000000000001" customHeight="1" x14ac:dyDescent="0.2">
      <c r="B21" s="141"/>
      <c r="C21" s="142"/>
      <c r="D21" s="145"/>
      <c r="E21" s="147"/>
      <c r="F21" s="126"/>
      <c r="G21" s="126"/>
      <c r="H21" s="46">
        <f>$E6*H6+$E7*H7+$E8*H8+$E9*H9+$E10*H10+$E11*H11+$E12*H12+$E14*H14+$E15*H15+$E16*H16+$E17*H17+$E18*H18+$E19*H19+$E13*H13</f>
        <v>14000</v>
      </c>
      <c r="I21" s="28">
        <f t="shared" ref="I21:AK21" si="5">$E6*I6+$E7*I7+$E8*I8+$E9*I9+$E10*I10+$E11*I11+$E12*I12+$E14*I14+$E15*I15+$E16*I16+$E17*I17+$E18*I18+$E19*I19+$E13*I13</f>
        <v>5500</v>
      </c>
      <c r="J21" s="28">
        <f t="shared" si="5"/>
        <v>13500</v>
      </c>
      <c r="K21" s="28">
        <f t="shared" si="5"/>
        <v>43000</v>
      </c>
      <c r="L21" s="28">
        <f t="shared" si="5"/>
        <v>4000</v>
      </c>
      <c r="M21" s="28">
        <f t="shared" si="5"/>
        <v>22500</v>
      </c>
      <c r="N21" s="28">
        <f t="shared" si="5"/>
        <v>7000</v>
      </c>
      <c r="O21" s="28">
        <f t="shared" si="5"/>
        <v>6500</v>
      </c>
      <c r="P21" s="28">
        <f t="shared" si="5"/>
        <v>7000</v>
      </c>
      <c r="Q21" s="28">
        <f t="shared" si="5"/>
        <v>17000</v>
      </c>
      <c r="R21" s="28">
        <f t="shared" si="5"/>
        <v>4000</v>
      </c>
      <c r="S21" s="28">
        <f t="shared" si="5"/>
        <v>12500</v>
      </c>
      <c r="T21" s="28">
        <f t="shared" si="5"/>
        <v>13000</v>
      </c>
      <c r="U21" s="28">
        <f t="shared" si="5"/>
        <v>14000</v>
      </c>
      <c r="V21" s="28">
        <f t="shared" si="5"/>
        <v>4000</v>
      </c>
      <c r="W21" s="28">
        <f t="shared" si="5"/>
        <v>12500</v>
      </c>
      <c r="X21" s="28">
        <f t="shared" si="5"/>
        <v>4000</v>
      </c>
      <c r="Y21" s="28">
        <f t="shared" si="5"/>
        <v>11000</v>
      </c>
      <c r="Z21" s="28">
        <f t="shared" si="5"/>
        <v>11500</v>
      </c>
      <c r="AA21" s="28">
        <f t="shared" si="5"/>
        <v>13000</v>
      </c>
      <c r="AB21" s="28">
        <f t="shared" si="5"/>
        <v>0</v>
      </c>
      <c r="AC21" s="28">
        <f t="shared" si="5"/>
        <v>0</v>
      </c>
      <c r="AD21" s="28">
        <f t="shared" si="5"/>
        <v>0</v>
      </c>
      <c r="AE21" s="28">
        <f t="shared" si="5"/>
        <v>0</v>
      </c>
      <c r="AF21" s="28">
        <f t="shared" si="5"/>
        <v>0</v>
      </c>
      <c r="AG21" s="28">
        <f t="shared" si="5"/>
        <v>0</v>
      </c>
      <c r="AH21" s="28">
        <f t="shared" si="5"/>
        <v>0</v>
      </c>
      <c r="AI21" s="28">
        <f t="shared" si="5"/>
        <v>0</v>
      </c>
      <c r="AJ21" s="28">
        <f t="shared" si="5"/>
        <v>0</v>
      </c>
      <c r="AK21" s="74">
        <f t="shared" si="5"/>
        <v>0</v>
      </c>
      <c r="AL21" s="28">
        <f>$E6*AL6+$E7*AL7+$E8*AL8+$E9*AL9+$E10*AL10+$E11*AL11+$E12*AL12+$E14*AL14+$E15*AL15+$E16*AL16+$E17*AL17+$E18*AL18+$E19*AL19+$E13*AL13</f>
        <v>0</v>
      </c>
      <c r="AM21" s="28">
        <f>$E6*AM6+$E7*AM7+$E8*AM8+$E9*AM9+$E10*AM10+$E11*AM11+$E12*AM12+$E14*AM14+$E15*AM15+$E16*AM16+$E17*AM17+$E18*AM18+$E19*AM19+$E13*AM13</f>
        <v>0</v>
      </c>
      <c r="AN21" s="28">
        <f>$E6*AN6+$E7*AN7+$E8*AN8+$E9*AN9+$E10*AN10+$E11*AN11+$E12*AN12+$E14*AN14+$E15*AN15+$E16*AN16+$E17*AN17+$E18*AN18+$E19*AN19+$E13*AN13</f>
        <v>0</v>
      </c>
      <c r="AO21" s="28">
        <f t="shared" ref="AO21:AU21" si="6">$E6*AO6+$E7*AO7+$E8*AO8+$E9*AO9+$E10*AO10+$E11*AO11+$E12*AO12+$E14*AO14+$E15*AO15+$E16*AO16+$E17*AO17+$E18*AO18+$E19*AO19+$E13*AO13</f>
        <v>0</v>
      </c>
      <c r="AP21" s="28">
        <f t="shared" si="6"/>
        <v>0</v>
      </c>
      <c r="AQ21" s="28">
        <f t="shared" si="6"/>
        <v>0</v>
      </c>
      <c r="AR21" s="28">
        <f t="shared" si="6"/>
        <v>0</v>
      </c>
      <c r="AS21" s="28">
        <f t="shared" si="6"/>
        <v>0</v>
      </c>
      <c r="AT21" s="28">
        <f t="shared" si="6"/>
        <v>0</v>
      </c>
      <c r="AU21" s="29">
        <f t="shared" si="6"/>
        <v>0</v>
      </c>
    </row>
  </sheetData>
  <sheetProtection password="CC67" sheet="1" objects="1" scenarios="1"/>
  <mergeCells count="10">
    <mergeCell ref="B20:D21"/>
    <mergeCell ref="E20:E21"/>
    <mergeCell ref="F20:F21"/>
    <mergeCell ref="G20:G21"/>
    <mergeCell ref="B2:G2"/>
    <mergeCell ref="B4:B5"/>
    <mergeCell ref="C4:C5"/>
    <mergeCell ref="D4:D5"/>
    <mergeCell ref="E4:E5"/>
    <mergeCell ref="F4:F5"/>
  </mergeCells>
  <phoneticPr fontId="2" type="noConversion"/>
  <pageMargins left="0.7" right="0.7" top="0.75" bottom="0.75" header="0.3" footer="0.3"/>
  <pageSetup paperSize="9" scale="31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1:AU21"/>
  <sheetViews>
    <sheetView showGridLines="0" zoomScale="85" zoomScaleNormal="85" workbookViewId="0">
      <pane xSplit="7" ySplit="5" topLeftCell="Q6" activePane="bottomRight" state="frozen"/>
      <selection pane="topRight" activeCell="G1" sqref="G1"/>
      <selection pane="bottomLeft" activeCell="A6" sqref="A6"/>
      <selection pane="bottomRight" activeCell="C6" sqref="C6:D15"/>
    </sheetView>
  </sheetViews>
  <sheetFormatPr defaultColWidth="9.125" defaultRowHeight="14.25" x14ac:dyDescent="0.2"/>
  <cols>
    <col min="1" max="1" width="0.375" style="1" customWidth="1"/>
    <col min="2" max="2" width="16.875" style="1" bestFit="1" customWidth="1"/>
    <col min="3" max="4" width="13.625" style="1" customWidth="1"/>
    <col min="5" max="5" width="10.625" style="1" hidden="1" customWidth="1"/>
    <col min="6" max="6" width="10.625" style="1" customWidth="1"/>
    <col min="7" max="7" width="10.625" style="3" customWidth="1"/>
    <col min="8" max="22" width="10.625" style="4" customWidth="1"/>
    <col min="23" max="47" width="10.625" style="1" customWidth="1"/>
    <col min="48" max="16384" width="9.125" style="1"/>
  </cols>
  <sheetData>
    <row r="1" spans="2:47" ht="3.75" customHeight="1" x14ac:dyDescent="0.2"/>
    <row r="2" spans="2:47" ht="20.25" x14ac:dyDescent="0.2">
      <c r="B2" s="149" t="s">
        <v>26</v>
      </c>
      <c r="C2" s="149"/>
      <c r="D2" s="149"/>
      <c r="E2" s="149"/>
      <c r="F2" s="149"/>
      <c r="G2" s="149"/>
    </row>
    <row r="3" spans="2:47" ht="4.9000000000000004" customHeight="1" x14ac:dyDescent="0.2"/>
    <row r="4" spans="2:47" s="38" customFormat="1" ht="20.100000000000001" customHeight="1" x14ac:dyDescent="0.2">
      <c r="B4" s="150" t="s">
        <v>3</v>
      </c>
      <c r="C4" s="123" t="s">
        <v>45</v>
      </c>
      <c r="D4" s="153" t="s">
        <v>46</v>
      </c>
      <c r="E4" s="135" t="s">
        <v>4</v>
      </c>
      <c r="F4" s="129" t="s">
        <v>5</v>
      </c>
      <c r="G4" s="32" t="s">
        <v>0</v>
      </c>
      <c r="H4" s="33">
        <v>1</v>
      </c>
      <c r="I4" s="34">
        <v>2</v>
      </c>
      <c r="J4" s="34">
        <v>3</v>
      </c>
      <c r="K4" s="34">
        <v>4</v>
      </c>
      <c r="L4" s="34">
        <v>5</v>
      </c>
      <c r="M4" s="34">
        <v>6</v>
      </c>
      <c r="N4" s="34">
        <v>7</v>
      </c>
      <c r="O4" s="34">
        <v>8</v>
      </c>
      <c r="P4" s="34">
        <v>9</v>
      </c>
      <c r="Q4" s="34">
        <v>10</v>
      </c>
      <c r="R4" s="34">
        <v>11</v>
      </c>
      <c r="S4" s="34">
        <v>12</v>
      </c>
      <c r="T4" s="34">
        <v>13</v>
      </c>
      <c r="U4" s="34">
        <v>14</v>
      </c>
      <c r="V4" s="34">
        <v>15</v>
      </c>
      <c r="W4" s="34">
        <v>16</v>
      </c>
      <c r="X4" s="34">
        <v>17</v>
      </c>
      <c r="Y4" s="33">
        <v>18</v>
      </c>
      <c r="Z4" s="34">
        <v>19</v>
      </c>
      <c r="AA4" s="34">
        <v>20</v>
      </c>
      <c r="AB4" s="34">
        <v>21</v>
      </c>
      <c r="AC4" s="34">
        <v>22</v>
      </c>
      <c r="AD4" s="34">
        <v>23</v>
      </c>
      <c r="AE4" s="34">
        <v>24</v>
      </c>
      <c r="AF4" s="34">
        <v>25</v>
      </c>
      <c r="AG4" s="34">
        <v>26</v>
      </c>
      <c r="AH4" s="34">
        <v>27</v>
      </c>
      <c r="AI4" s="34">
        <v>28</v>
      </c>
      <c r="AJ4" s="34">
        <v>29</v>
      </c>
      <c r="AK4" s="96">
        <v>30</v>
      </c>
      <c r="AL4" s="34">
        <v>31</v>
      </c>
      <c r="AM4" s="34">
        <v>32</v>
      </c>
      <c r="AN4" s="34">
        <v>33</v>
      </c>
      <c r="AO4" s="34">
        <v>34</v>
      </c>
      <c r="AP4" s="34">
        <v>35</v>
      </c>
      <c r="AQ4" s="34">
        <v>36</v>
      </c>
      <c r="AR4" s="34">
        <v>37</v>
      </c>
      <c r="AS4" s="34">
        <v>38</v>
      </c>
      <c r="AT4" s="34">
        <v>39</v>
      </c>
      <c r="AU4" s="35">
        <v>40</v>
      </c>
    </row>
    <row r="5" spans="2:47" s="38" customFormat="1" ht="20.100000000000001" customHeight="1" x14ac:dyDescent="0.2">
      <c r="B5" s="151"/>
      <c r="C5" s="152"/>
      <c r="D5" s="154"/>
      <c r="E5" s="136"/>
      <c r="F5" s="130"/>
      <c r="G5" s="36" t="s">
        <v>1</v>
      </c>
      <c r="H5" s="37">
        <v>1225</v>
      </c>
      <c r="I5" s="37">
        <v>505</v>
      </c>
      <c r="J5" s="37">
        <v>1614</v>
      </c>
      <c r="K5" s="37">
        <v>1021</v>
      </c>
      <c r="L5" s="37">
        <v>828</v>
      </c>
      <c r="M5" s="37">
        <v>928</v>
      </c>
      <c r="N5" s="37">
        <v>1102</v>
      </c>
      <c r="O5" s="37">
        <v>926</v>
      </c>
      <c r="P5" s="37">
        <v>724</v>
      </c>
      <c r="Q5" s="37">
        <v>1402</v>
      </c>
      <c r="R5" s="37">
        <v>1716</v>
      </c>
      <c r="S5" s="37">
        <v>922</v>
      </c>
      <c r="T5" s="37">
        <v>1425</v>
      </c>
      <c r="U5" s="37">
        <v>914</v>
      </c>
      <c r="V5" s="37">
        <v>1519</v>
      </c>
      <c r="W5" s="37">
        <v>1226</v>
      </c>
      <c r="X5" s="37">
        <v>1002</v>
      </c>
      <c r="Y5" s="37">
        <v>1031</v>
      </c>
      <c r="Z5" s="37">
        <v>1227</v>
      </c>
      <c r="AA5" s="37">
        <v>706</v>
      </c>
      <c r="AB5" s="37">
        <v>1506</v>
      </c>
      <c r="AC5" s="37">
        <v>531</v>
      </c>
      <c r="AD5" s="37">
        <v>1624</v>
      </c>
      <c r="AE5" s="37">
        <v>826</v>
      </c>
      <c r="AF5" s="37"/>
      <c r="AG5" s="37"/>
      <c r="AH5" s="37"/>
      <c r="AI5" s="37"/>
      <c r="AJ5" s="37"/>
      <c r="AK5" s="94"/>
      <c r="AL5" s="7"/>
      <c r="AM5" s="7"/>
      <c r="AN5" s="7"/>
      <c r="AO5" s="7"/>
      <c r="AP5" s="7"/>
      <c r="AQ5" s="7"/>
      <c r="AR5" s="7"/>
      <c r="AS5" s="7"/>
      <c r="AT5" s="7"/>
      <c r="AU5" s="9"/>
    </row>
    <row r="6" spans="2:47" s="38" customFormat="1" ht="30" customHeight="1" x14ac:dyDescent="0.2">
      <c r="B6" s="77" t="s">
        <v>12</v>
      </c>
      <c r="C6" s="62" t="s">
        <v>53</v>
      </c>
      <c r="D6" s="35"/>
      <c r="E6" s="39">
        <v>6000</v>
      </c>
      <c r="F6" s="12">
        <f>E6*G6</f>
        <v>30000</v>
      </c>
      <c r="G6" s="95">
        <f t="shared" ref="G6:G19" si="0">SUM(H6:AU6)</f>
        <v>5</v>
      </c>
      <c r="H6" s="40"/>
      <c r="I6" s="40"/>
      <c r="J6" s="40"/>
      <c r="K6" s="40">
        <v>1</v>
      </c>
      <c r="L6" s="40">
        <v>1</v>
      </c>
      <c r="M6" s="40"/>
      <c r="N6" s="40"/>
      <c r="O6" s="40"/>
      <c r="P6" s="40"/>
      <c r="Q6" s="40"/>
      <c r="R6" s="40"/>
      <c r="S6" s="40"/>
      <c r="T6" s="40">
        <v>1</v>
      </c>
      <c r="U6" s="40"/>
      <c r="V6" s="40"/>
      <c r="W6" s="40"/>
      <c r="X6" s="40">
        <v>1</v>
      </c>
      <c r="Y6" s="40"/>
      <c r="Z6" s="40"/>
      <c r="AA6" s="40"/>
      <c r="AB6" s="40"/>
      <c r="AC6" s="40">
        <v>1</v>
      </c>
      <c r="AD6" s="40"/>
      <c r="AE6" s="40"/>
      <c r="AF6" s="40"/>
      <c r="AG6" s="40"/>
      <c r="AH6" s="40"/>
      <c r="AI6" s="40"/>
      <c r="AJ6" s="40"/>
      <c r="AK6" s="97"/>
      <c r="AL6" s="40"/>
      <c r="AM6" s="40"/>
      <c r="AN6" s="40"/>
      <c r="AO6" s="40"/>
      <c r="AP6" s="40"/>
      <c r="AQ6" s="40"/>
      <c r="AR6" s="40"/>
      <c r="AS6" s="40"/>
      <c r="AT6" s="40"/>
      <c r="AU6" s="41"/>
    </row>
    <row r="7" spans="2:47" s="38" customFormat="1" ht="30" customHeight="1" x14ac:dyDescent="0.2">
      <c r="B7" s="78" t="s">
        <v>13</v>
      </c>
      <c r="C7" s="63" t="s">
        <v>54</v>
      </c>
      <c r="D7" s="64"/>
      <c r="E7" s="42">
        <v>6500</v>
      </c>
      <c r="F7" s="18">
        <f t="shared" ref="F7:F19" si="1">E7*G7</f>
        <v>32500</v>
      </c>
      <c r="G7" s="95">
        <f t="shared" si="0"/>
        <v>5</v>
      </c>
      <c r="H7" s="43">
        <v>1</v>
      </c>
      <c r="I7" s="43"/>
      <c r="J7" s="43"/>
      <c r="K7" s="43">
        <v>1</v>
      </c>
      <c r="L7" s="43"/>
      <c r="M7" s="43"/>
      <c r="N7" s="43"/>
      <c r="O7" s="43"/>
      <c r="P7" s="43"/>
      <c r="Q7" s="43"/>
      <c r="R7" s="43">
        <v>1</v>
      </c>
      <c r="S7" s="43"/>
      <c r="T7" s="43">
        <v>1</v>
      </c>
      <c r="U7" s="43"/>
      <c r="V7" s="43"/>
      <c r="W7" s="43"/>
      <c r="X7" s="43"/>
      <c r="Y7" s="43"/>
      <c r="Z7" s="43"/>
      <c r="AA7" s="43"/>
      <c r="AB7" s="43"/>
      <c r="AC7" s="43"/>
      <c r="AD7" s="43"/>
      <c r="AE7" s="43">
        <v>1</v>
      </c>
      <c r="AF7" s="43"/>
      <c r="AG7" s="43"/>
      <c r="AH7" s="43"/>
      <c r="AI7" s="43"/>
      <c r="AJ7" s="43"/>
      <c r="AK7" s="98"/>
      <c r="AL7" s="43"/>
      <c r="AM7" s="43"/>
      <c r="AN7" s="43"/>
      <c r="AO7" s="43"/>
      <c r="AP7" s="43"/>
      <c r="AQ7" s="43"/>
      <c r="AR7" s="43"/>
      <c r="AS7" s="43"/>
      <c r="AT7" s="43"/>
      <c r="AU7" s="44"/>
    </row>
    <row r="8" spans="2:47" s="38" customFormat="1" ht="30" customHeight="1" x14ac:dyDescent="0.2">
      <c r="B8" s="78" t="s">
        <v>14</v>
      </c>
      <c r="C8" s="63" t="s">
        <v>55</v>
      </c>
      <c r="D8" s="64"/>
      <c r="E8" s="42">
        <v>7000</v>
      </c>
      <c r="F8" s="18">
        <f t="shared" si="1"/>
        <v>14000</v>
      </c>
      <c r="G8" s="95">
        <f t="shared" si="0"/>
        <v>2</v>
      </c>
      <c r="H8" s="43"/>
      <c r="I8" s="43"/>
      <c r="J8" s="43"/>
      <c r="K8" s="43">
        <v>1</v>
      </c>
      <c r="L8" s="43"/>
      <c r="M8" s="43"/>
      <c r="N8" s="43"/>
      <c r="O8" s="43"/>
      <c r="P8" s="43"/>
      <c r="Q8" s="43"/>
      <c r="R8" s="43"/>
      <c r="S8" s="43"/>
      <c r="T8" s="43">
        <v>1</v>
      </c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98"/>
      <c r="AL8" s="43"/>
      <c r="AM8" s="43"/>
      <c r="AN8" s="43"/>
      <c r="AO8" s="43"/>
      <c r="AP8" s="43"/>
      <c r="AQ8" s="43"/>
      <c r="AR8" s="43"/>
      <c r="AS8" s="43"/>
      <c r="AT8" s="43"/>
      <c r="AU8" s="44"/>
    </row>
    <row r="9" spans="2:47" s="38" customFormat="1" ht="30" customHeight="1" x14ac:dyDescent="0.2">
      <c r="B9" s="78" t="s">
        <v>15</v>
      </c>
      <c r="C9" s="63" t="s">
        <v>57</v>
      </c>
      <c r="D9" s="64"/>
      <c r="E9" s="42">
        <v>5500</v>
      </c>
      <c r="F9" s="18">
        <f t="shared" si="1"/>
        <v>82500</v>
      </c>
      <c r="G9" s="95">
        <f t="shared" si="0"/>
        <v>15</v>
      </c>
      <c r="H9" s="43"/>
      <c r="I9" s="43">
        <v>1</v>
      </c>
      <c r="J9" s="43">
        <v>2</v>
      </c>
      <c r="K9" s="43">
        <v>2</v>
      </c>
      <c r="L9" s="43"/>
      <c r="M9" s="43">
        <v>1</v>
      </c>
      <c r="N9" s="43">
        <v>1</v>
      </c>
      <c r="O9" s="43">
        <v>1</v>
      </c>
      <c r="P9" s="43"/>
      <c r="Q9" s="43"/>
      <c r="R9" s="43"/>
      <c r="S9" s="43"/>
      <c r="T9" s="43"/>
      <c r="U9" s="43">
        <v>1</v>
      </c>
      <c r="V9" s="43">
        <v>2</v>
      </c>
      <c r="W9" s="43">
        <v>1</v>
      </c>
      <c r="X9" s="43"/>
      <c r="Y9" s="43"/>
      <c r="Z9" s="43">
        <v>1</v>
      </c>
      <c r="AA9" s="43">
        <v>2</v>
      </c>
      <c r="AB9" s="43"/>
      <c r="AC9" s="43"/>
      <c r="AD9" s="43"/>
      <c r="AE9" s="43"/>
      <c r="AF9" s="43"/>
      <c r="AG9" s="43"/>
      <c r="AH9" s="43"/>
      <c r="AI9" s="43"/>
      <c r="AJ9" s="43"/>
      <c r="AK9" s="98"/>
      <c r="AL9" s="43"/>
      <c r="AM9" s="43"/>
      <c r="AN9" s="43"/>
      <c r="AO9" s="43"/>
      <c r="AP9" s="43"/>
      <c r="AQ9" s="43"/>
      <c r="AR9" s="43"/>
      <c r="AS9" s="43"/>
      <c r="AT9" s="43"/>
      <c r="AU9" s="44"/>
    </row>
    <row r="10" spans="2:47" s="38" customFormat="1" ht="30" customHeight="1" x14ac:dyDescent="0.2">
      <c r="B10" s="78" t="s">
        <v>16</v>
      </c>
      <c r="C10" s="63" t="s">
        <v>58</v>
      </c>
      <c r="D10" s="64"/>
      <c r="E10" s="42">
        <v>4000</v>
      </c>
      <c r="F10" s="18">
        <f t="shared" si="1"/>
        <v>0</v>
      </c>
      <c r="G10" s="95">
        <f t="shared" si="0"/>
        <v>0</v>
      </c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98"/>
      <c r="AL10" s="43"/>
      <c r="AM10" s="43"/>
      <c r="AN10" s="43"/>
      <c r="AO10" s="43"/>
      <c r="AP10" s="43"/>
      <c r="AQ10" s="43"/>
      <c r="AR10" s="43"/>
      <c r="AS10" s="43"/>
      <c r="AT10" s="43"/>
      <c r="AU10" s="44"/>
    </row>
    <row r="11" spans="2:47" s="38" customFormat="1" ht="30" customHeight="1" x14ac:dyDescent="0.2">
      <c r="B11" s="78" t="s">
        <v>17</v>
      </c>
      <c r="C11" s="63" t="s">
        <v>59</v>
      </c>
      <c r="D11" s="64"/>
      <c r="E11" s="42">
        <v>4000</v>
      </c>
      <c r="F11" s="18">
        <f t="shared" si="1"/>
        <v>40000</v>
      </c>
      <c r="G11" s="95">
        <f t="shared" si="0"/>
        <v>10</v>
      </c>
      <c r="H11" s="43"/>
      <c r="I11" s="43"/>
      <c r="J11" s="43"/>
      <c r="K11" s="43"/>
      <c r="L11" s="43"/>
      <c r="M11" s="43"/>
      <c r="N11" s="43"/>
      <c r="O11" s="43"/>
      <c r="P11" s="43"/>
      <c r="Q11" s="43">
        <v>1</v>
      </c>
      <c r="R11" s="43"/>
      <c r="S11" s="43"/>
      <c r="T11" s="43"/>
      <c r="U11" s="43"/>
      <c r="V11" s="43"/>
      <c r="W11" s="43"/>
      <c r="X11" s="43"/>
      <c r="Y11" s="43">
        <v>8</v>
      </c>
      <c r="Z11" s="43">
        <v>1</v>
      </c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98"/>
      <c r="AL11" s="43"/>
      <c r="AM11" s="43"/>
      <c r="AN11" s="43"/>
      <c r="AO11" s="43"/>
      <c r="AP11" s="43"/>
      <c r="AQ11" s="43"/>
      <c r="AR11" s="43"/>
      <c r="AS11" s="43"/>
      <c r="AT11" s="43"/>
      <c r="AU11" s="44"/>
    </row>
    <row r="12" spans="2:47" s="38" customFormat="1" ht="30" customHeight="1" x14ac:dyDescent="0.2">
      <c r="B12" s="78" t="s">
        <v>18</v>
      </c>
      <c r="C12" s="63" t="s">
        <v>60</v>
      </c>
      <c r="D12" s="64"/>
      <c r="E12" s="42">
        <v>4000</v>
      </c>
      <c r="F12" s="18">
        <f t="shared" si="1"/>
        <v>0</v>
      </c>
      <c r="G12" s="95">
        <f t="shared" si="0"/>
        <v>0</v>
      </c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98"/>
      <c r="AL12" s="43"/>
      <c r="AM12" s="43"/>
      <c r="AN12" s="43"/>
      <c r="AO12" s="43"/>
      <c r="AP12" s="43"/>
      <c r="AQ12" s="43"/>
      <c r="AR12" s="43"/>
      <c r="AS12" s="43"/>
      <c r="AT12" s="43"/>
      <c r="AU12" s="44"/>
    </row>
    <row r="13" spans="2:47" s="38" customFormat="1" ht="30" customHeight="1" x14ac:dyDescent="0.2">
      <c r="B13" s="78" t="s">
        <v>19</v>
      </c>
      <c r="C13" s="63" t="s">
        <v>59</v>
      </c>
      <c r="D13" s="64"/>
      <c r="E13" s="42">
        <v>5000</v>
      </c>
      <c r="F13" s="18">
        <f t="shared" si="1"/>
        <v>10000</v>
      </c>
      <c r="G13" s="95">
        <f t="shared" si="0"/>
        <v>2</v>
      </c>
      <c r="H13" s="45"/>
      <c r="I13" s="45"/>
      <c r="J13" s="45"/>
      <c r="K13" s="45"/>
      <c r="L13" s="45"/>
      <c r="M13" s="45"/>
      <c r="N13" s="45"/>
      <c r="O13" s="45"/>
      <c r="P13" s="45">
        <v>1</v>
      </c>
      <c r="Q13" s="45"/>
      <c r="R13" s="45"/>
      <c r="S13" s="45">
        <v>1</v>
      </c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99"/>
      <c r="AL13" s="43"/>
      <c r="AM13" s="43"/>
      <c r="AN13" s="43"/>
      <c r="AO13" s="43"/>
      <c r="AP13" s="43"/>
      <c r="AQ13" s="43"/>
      <c r="AR13" s="43"/>
      <c r="AS13" s="43"/>
      <c r="AT13" s="43"/>
      <c r="AU13" s="44"/>
    </row>
    <row r="14" spans="2:47" s="38" customFormat="1" ht="30" customHeight="1" x14ac:dyDescent="0.2">
      <c r="B14" s="78" t="s">
        <v>20</v>
      </c>
      <c r="C14" s="63" t="s">
        <v>53</v>
      </c>
      <c r="D14" s="64"/>
      <c r="E14" s="42">
        <v>7000</v>
      </c>
      <c r="F14" s="18">
        <f t="shared" si="1"/>
        <v>7000</v>
      </c>
      <c r="G14" s="95">
        <f t="shared" si="0"/>
        <v>1</v>
      </c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>
        <v>1</v>
      </c>
      <c r="AC14" s="43"/>
      <c r="AD14" s="43"/>
      <c r="AE14" s="43"/>
      <c r="AF14" s="43"/>
      <c r="AG14" s="43"/>
      <c r="AH14" s="43"/>
      <c r="AI14" s="43"/>
      <c r="AJ14" s="43"/>
      <c r="AK14" s="98"/>
      <c r="AL14" s="43"/>
      <c r="AM14" s="43"/>
      <c r="AN14" s="43"/>
      <c r="AO14" s="43"/>
      <c r="AP14" s="43"/>
      <c r="AQ14" s="43"/>
      <c r="AR14" s="43"/>
      <c r="AS14" s="43"/>
      <c r="AT14" s="43"/>
      <c r="AU14" s="44"/>
    </row>
    <row r="15" spans="2:47" s="38" customFormat="1" ht="30" customHeight="1" x14ac:dyDescent="0.2">
      <c r="B15" s="78" t="s">
        <v>21</v>
      </c>
      <c r="C15" s="63" t="s">
        <v>61</v>
      </c>
      <c r="D15" s="64"/>
      <c r="E15" s="42">
        <v>7000</v>
      </c>
      <c r="F15" s="18">
        <f t="shared" si="1"/>
        <v>14000</v>
      </c>
      <c r="G15" s="95">
        <f t="shared" si="0"/>
        <v>2</v>
      </c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>
        <v>1</v>
      </c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>
        <v>1</v>
      </c>
      <c r="AE15" s="43"/>
      <c r="AF15" s="43"/>
      <c r="AG15" s="43"/>
      <c r="AH15" s="43"/>
      <c r="AI15" s="43"/>
      <c r="AJ15" s="43"/>
      <c r="AK15" s="98"/>
      <c r="AL15" s="43"/>
      <c r="AM15" s="43"/>
      <c r="AN15" s="43"/>
      <c r="AO15" s="43"/>
      <c r="AP15" s="43"/>
      <c r="AQ15" s="43"/>
      <c r="AR15" s="43"/>
      <c r="AS15" s="43"/>
      <c r="AT15" s="43"/>
      <c r="AU15" s="44"/>
    </row>
    <row r="16" spans="2:47" s="38" customFormat="1" ht="30" customHeight="1" x14ac:dyDescent="0.2">
      <c r="B16" s="78" t="s">
        <v>22</v>
      </c>
      <c r="C16" s="63"/>
      <c r="D16" s="64"/>
      <c r="E16" s="42">
        <v>7000</v>
      </c>
      <c r="F16" s="18">
        <f t="shared" si="1"/>
        <v>0</v>
      </c>
      <c r="G16" s="95">
        <f t="shared" si="0"/>
        <v>0</v>
      </c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98"/>
      <c r="AL16" s="43"/>
      <c r="AM16" s="43"/>
      <c r="AN16" s="43"/>
      <c r="AO16" s="43"/>
      <c r="AP16" s="43"/>
      <c r="AQ16" s="43"/>
      <c r="AR16" s="43"/>
      <c r="AS16" s="43"/>
      <c r="AT16" s="43"/>
      <c r="AU16" s="44"/>
    </row>
    <row r="17" spans="2:47" s="38" customFormat="1" ht="30" customHeight="1" x14ac:dyDescent="0.2">
      <c r="B17" s="78" t="s">
        <v>23</v>
      </c>
      <c r="C17" s="63"/>
      <c r="D17" s="64"/>
      <c r="E17" s="42">
        <v>7000</v>
      </c>
      <c r="F17" s="18">
        <f t="shared" si="1"/>
        <v>0</v>
      </c>
      <c r="G17" s="95">
        <f t="shared" si="0"/>
        <v>0</v>
      </c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98"/>
      <c r="AL17" s="43"/>
      <c r="AM17" s="43"/>
      <c r="AN17" s="43"/>
      <c r="AO17" s="43"/>
      <c r="AP17" s="43"/>
      <c r="AQ17" s="43"/>
      <c r="AR17" s="43"/>
      <c r="AS17" s="43"/>
      <c r="AT17" s="43"/>
      <c r="AU17" s="44"/>
    </row>
    <row r="18" spans="2:47" s="38" customFormat="1" ht="30" customHeight="1" x14ac:dyDescent="0.2">
      <c r="B18" s="78" t="s">
        <v>24</v>
      </c>
      <c r="C18" s="63"/>
      <c r="D18" s="64"/>
      <c r="E18" s="42">
        <v>7000</v>
      </c>
      <c r="F18" s="18">
        <f t="shared" si="1"/>
        <v>0</v>
      </c>
      <c r="G18" s="95">
        <f t="shared" si="0"/>
        <v>0</v>
      </c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99"/>
      <c r="AL18" s="43"/>
      <c r="AM18" s="43"/>
      <c r="AN18" s="43"/>
      <c r="AO18" s="43"/>
      <c r="AP18" s="43"/>
      <c r="AQ18" s="43"/>
      <c r="AR18" s="43"/>
      <c r="AS18" s="43"/>
      <c r="AT18" s="43"/>
      <c r="AU18" s="44"/>
    </row>
    <row r="19" spans="2:47" s="38" customFormat="1" ht="30" customHeight="1" x14ac:dyDescent="0.2">
      <c r="B19" s="79" t="s">
        <v>25</v>
      </c>
      <c r="C19" s="65"/>
      <c r="D19" s="9"/>
      <c r="E19" s="61">
        <v>7000</v>
      </c>
      <c r="F19" s="50">
        <f t="shared" si="1"/>
        <v>0</v>
      </c>
      <c r="G19" s="95">
        <f t="shared" si="0"/>
        <v>0</v>
      </c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98"/>
      <c r="AL19" s="45"/>
      <c r="AM19" s="45"/>
      <c r="AN19" s="45"/>
      <c r="AO19" s="45"/>
      <c r="AP19" s="45"/>
      <c r="AQ19" s="45"/>
      <c r="AR19" s="45"/>
      <c r="AS19" s="45"/>
      <c r="AT19" s="45"/>
      <c r="AU19" s="60"/>
    </row>
    <row r="20" spans="2:47" s="38" customFormat="1" ht="20.100000000000001" customHeight="1" x14ac:dyDescent="0.2">
      <c r="B20" s="139" t="s">
        <v>8</v>
      </c>
      <c r="C20" s="140"/>
      <c r="D20" s="144"/>
      <c r="E20" s="146">
        <f>SUM(E6:E8,E10:E15)+E9*2</f>
        <v>61500</v>
      </c>
      <c r="F20" s="125">
        <f t="shared" ref="F20:X20" si="2">SUM(F6:F19)</f>
        <v>230000</v>
      </c>
      <c r="G20" s="125">
        <f t="shared" si="2"/>
        <v>42</v>
      </c>
      <c r="H20" s="23">
        <f t="shared" si="2"/>
        <v>1</v>
      </c>
      <c r="I20" s="23">
        <f t="shared" si="2"/>
        <v>1</v>
      </c>
      <c r="J20" s="23">
        <f t="shared" si="2"/>
        <v>2</v>
      </c>
      <c r="K20" s="23">
        <f t="shared" si="2"/>
        <v>5</v>
      </c>
      <c r="L20" s="23">
        <f t="shared" si="2"/>
        <v>1</v>
      </c>
      <c r="M20" s="23">
        <f t="shared" si="2"/>
        <v>1</v>
      </c>
      <c r="N20" s="23">
        <f t="shared" si="2"/>
        <v>1</v>
      </c>
      <c r="O20" s="23">
        <f t="shared" si="2"/>
        <v>1</v>
      </c>
      <c r="P20" s="23">
        <f t="shared" si="2"/>
        <v>1</v>
      </c>
      <c r="Q20" s="23">
        <f t="shared" si="2"/>
        <v>1</v>
      </c>
      <c r="R20" s="23">
        <f t="shared" si="2"/>
        <v>1</v>
      </c>
      <c r="S20" s="23">
        <f t="shared" si="2"/>
        <v>2</v>
      </c>
      <c r="T20" s="23">
        <f t="shared" si="2"/>
        <v>3</v>
      </c>
      <c r="U20" s="23">
        <f t="shared" si="2"/>
        <v>1</v>
      </c>
      <c r="V20" s="23">
        <f t="shared" si="2"/>
        <v>2</v>
      </c>
      <c r="W20" s="23">
        <f t="shared" si="2"/>
        <v>1</v>
      </c>
      <c r="X20" s="23">
        <f t="shared" si="2"/>
        <v>1</v>
      </c>
      <c r="Y20" s="23">
        <f t="shared" ref="Y20:AH20" si="3">SUM(Y6:Y19)</f>
        <v>8</v>
      </c>
      <c r="Z20" s="23">
        <f t="shared" si="3"/>
        <v>2</v>
      </c>
      <c r="AA20" s="23">
        <f t="shared" si="3"/>
        <v>2</v>
      </c>
      <c r="AB20" s="23">
        <f t="shared" si="3"/>
        <v>1</v>
      </c>
      <c r="AC20" s="23">
        <f t="shared" si="3"/>
        <v>1</v>
      </c>
      <c r="AD20" s="23">
        <f t="shared" si="3"/>
        <v>1</v>
      </c>
      <c r="AE20" s="23">
        <f t="shared" si="3"/>
        <v>1</v>
      </c>
      <c r="AF20" s="23">
        <f t="shared" si="3"/>
        <v>0</v>
      </c>
      <c r="AG20" s="23">
        <f t="shared" si="3"/>
        <v>0</v>
      </c>
      <c r="AH20" s="23">
        <f t="shared" si="3"/>
        <v>0</v>
      </c>
      <c r="AI20" s="23">
        <f>SUM(AI6:AI19)</f>
        <v>0</v>
      </c>
      <c r="AJ20" s="23">
        <f>SUM(AJ6:AJ19)</f>
        <v>0</v>
      </c>
      <c r="AK20" s="100">
        <f>SUM(AK6:AK19)</f>
        <v>0</v>
      </c>
      <c r="AL20" s="101">
        <f>SUM(AL6:AL19)</f>
        <v>0</v>
      </c>
      <c r="AM20" s="101">
        <f t="shared" ref="AM20:AU20" si="4">SUM(AM6:AM19)</f>
        <v>0</v>
      </c>
      <c r="AN20" s="101">
        <f t="shared" si="4"/>
        <v>0</v>
      </c>
      <c r="AO20" s="101">
        <f t="shared" si="4"/>
        <v>0</v>
      </c>
      <c r="AP20" s="101">
        <f t="shared" si="4"/>
        <v>0</v>
      </c>
      <c r="AQ20" s="101">
        <f t="shared" si="4"/>
        <v>0</v>
      </c>
      <c r="AR20" s="101">
        <f t="shared" si="4"/>
        <v>0</v>
      </c>
      <c r="AS20" s="101">
        <f t="shared" si="4"/>
        <v>0</v>
      </c>
      <c r="AT20" s="101">
        <f t="shared" si="4"/>
        <v>0</v>
      </c>
      <c r="AU20" s="102">
        <f t="shared" si="4"/>
        <v>0</v>
      </c>
    </row>
    <row r="21" spans="2:47" s="38" customFormat="1" ht="20.100000000000001" customHeight="1" x14ac:dyDescent="0.2">
      <c r="B21" s="141"/>
      <c r="C21" s="142"/>
      <c r="D21" s="145"/>
      <c r="E21" s="147"/>
      <c r="F21" s="126"/>
      <c r="G21" s="126"/>
      <c r="H21" s="46">
        <f>$E6*H6+$E7*H7+$E8*H8+$E9*H9+$E10*H10+$E11*H11+$E12*H12+$E14*H14+$E15*H15+$E16*H16+$E17*H17+$E18*H18+$E19*H19+$E13*H13</f>
        <v>6500</v>
      </c>
      <c r="I21" s="28">
        <f t="shared" ref="I21:AK21" si="5">$E6*I6+$E7*I7+$E8*I8+$E9*I9+$E10*I10+$E11*I11+$E12*I12+$E14*I14+$E15*I15+$E16*I16+$E17*I17+$E18*I18+$E19*I19+$E13*I13</f>
        <v>5500</v>
      </c>
      <c r="J21" s="28">
        <f t="shared" si="5"/>
        <v>11000</v>
      </c>
      <c r="K21" s="28">
        <f t="shared" si="5"/>
        <v>30500</v>
      </c>
      <c r="L21" s="28">
        <f t="shared" si="5"/>
        <v>6000</v>
      </c>
      <c r="M21" s="28">
        <f t="shared" si="5"/>
        <v>5500</v>
      </c>
      <c r="N21" s="28">
        <f t="shared" si="5"/>
        <v>5500</v>
      </c>
      <c r="O21" s="28">
        <f t="shared" si="5"/>
        <v>5500</v>
      </c>
      <c r="P21" s="28">
        <f t="shared" si="5"/>
        <v>5000</v>
      </c>
      <c r="Q21" s="28">
        <f t="shared" si="5"/>
        <v>4000</v>
      </c>
      <c r="R21" s="28">
        <f t="shared" si="5"/>
        <v>6500</v>
      </c>
      <c r="S21" s="28">
        <f t="shared" si="5"/>
        <v>12000</v>
      </c>
      <c r="T21" s="28">
        <f t="shared" si="5"/>
        <v>19500</v>
      </c>
      <c r="U21" s="28">
        <f t="shared" si="5"/>
        <v>5500</v>
      </c>
      <c r="V21" s="28">
        <f t="shared" si="5"/>
        <v>11000</v>
      </c>
      <c r="W21" s="28">
        <f t="shared" si="5"/>
        <v>5500</v>
      </c>
      <c r="X21" s="28">
        <f t="shared" si="5"/>
        <v>6000</v>
      </c>
      <c r="Y21" s="28">
        <f t="shared" si="5"/>
        <v>32000</v>
      </c>
      <c r="Z21" s="28">
        <f t="shared" si="5"/>
        <v>9500</v>
      </c>
      <c r="AA21" s="28">
        <f t="shared" si="5"/>
        <v>11000</v>
      </c>
      <c r="AB21" s="28">
        <f t="shared" si="5"/>
        <v>7000</v>
      </c>
      <c r="AC21" s="28">
        <f t="shared" si="5"/>
        <v>6000</v>
      </c>
      <c r="AD21" s="28">
        <f t="shared" si="5"/>
        <v>7000</v>
      </c>
      <c r="AE21" s="28">
        <f t="shared" si="5"/>
        <v>6500</v>
      </c>
      <c r="AF21" s="28">
        <f t="shared" si="5"/>
        <v>0</v>
      </c>
      <c r="AG21" s="28">
        <f t="shared" si="5"/>
        <v>0</v>
      </c>
      <c r="AH21" s="28">
        <f t="shared" si="5"/>
        <v>0</v>
      </c>
      <c r="AI21" s="28">
        <f t="shared" si="5"/>
        <v>0</v>
      </c>
      <c r="AJ21" s="28">
        <f t="shared" si="5"/>
        <v>0</v>
      </c>
      <c r="AK21" s="74">
        <f t="shared" si="5"/>
        <v>0</v>
      </c>
      <c r="AL21" s="28">
        <f>$E6*AL6+$E7*AL7+$E8*AL8+$E9*AL9+$E10*AL10+$E11*AL11+$E12*AL12+$E14*AL14+$E15*AL15+$E16*AL16+$E17*AL17+$E18*AL18+$E19*AL19+$E13*AL13</f>
        <v>0</v>
      </c>
      <c r="AM21" s="28">
        <f>$E6*AM6+$E7*AM7+$E8*AM8+$E9*AM9+$E10*AM10+$E11*AM11+$E12*AM12+$E14*AM14+$E15*AM15+$E16*AM16+$E17*AM17+$E18*AM18+$E19*AM19+$E13*AM13</f>
        <v>0</v>
      </c>
      <c r="AN21" s="28">
        <f>$E6*AN6+$E7*AN7+$E8*AN8+$E9*AN9+$E10*AN10+$E11*AN11+$E12*AN12+$E14*AN14+$E15*AN15+$E16*AN16+$E17*AN17+$E18*AN18+$E19*AN19+$E13*AN13</f>
        <v>0</v>
      </c>
      <c r="AO21" s="28">
        <f t="shared" ref="AO21:AU21" si="6">$E6*AO6+$E7*AO7+$E8*AO8+$E9*AO9+$E10*AO10+$E11*AO11+$E12*AO12+$E14*AO14+$E15*AO15+$E16*AO16+$E17*AO17+$E18*AO18+$E19*AO19+$E13*AO13</f>
        <v>0</v>
      </c>
      <c r="AP21" s="28">
        <f t="shared" si="6"/>
        <v>0</v>
      </c>
      <c r="AQ21" s="28">
        <f t="shared" si="6"/>
        <v>0</v>
      </c>
      <c r="AR21" s="28">
        <f t="shared" si="6"/>
        <v>0</v>
      </c>
      <c r="AS21" s="28">
        <f t="shared" si="6"/>
        <v>0</v>
      </c>
      <c r="AT21" s="28">
        <f t="shared" si="6"/>
        <v>0</v>
      </c>
      <c r="AU21" s="29">
        <f t="shared" si="6"/>
        <v>0</v>
      </c>
    </row>
  </sheetData>
  <sheetProtection password="CC67" sheet="1" objects="1" scenarios="1"/>
  <mergeCells count="10">
    <mergeCell ref="B20:D21"/>
    <mergeCell ref="E20:E21"/>
    <mergeCell ref="F20:F21"/>
    <mergeCell ref="G20:G21"/>
    <mergeCell ref="B2:G2"/>
    <mergeCell ref="B4:B5"/>
    <mergeCell ref="C4:C5"/>
    <mergeCell ref="D4:D5"/>
    <mergeCell ref="E4:E5"/>
    <mergeCell ref="F4:F5"/>
  </mergeCells>
  <phoneticPr fontId="2" type="noConversion"/>
  <pageMargins left="0.7" right="0.7" top="0.75" bottom="0.75" header="0.3" footer="0.3"/>
  <pageSetup paperSize="9" scale="31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AU21"/>
  <sheetViews>
    <sheetView showGridLines="0" zoomScale="85" zoomScaleNormal="85" workbookViewId="0">
      <pane xSplit="7" ySplit="5" topLeftCell="H6" activePane="bottomRight" state="frozen"/>
      <selection pane="topRight" activeCell="G1" sqref="G1"/>
      <selection pane="bottomLeft" activeCell="A6" sqref="A6"/>
      <selection pane="bottomRight" activeCell="C6" sqref="C6:D15"/>
    </sheetView>
  </sheetViews>
  <sheetFormatPr defaultColWidth="9.125" defaultRowHeight="14.25" x14ac:dyDescent="0.2"/>
  <cols>
    <col min="1" max="1" width="0.375" style="1" customWidth="1"/>
    <col min="2" max="2" width="16.875" style="1" bestFit="1" customWidth="1"/>
    <col min="3" max="4" width="13.625" style="1" customWidth="1"/>
    <col min="5" max="5" width="10.625" style="1" hidden="1" customWidth="1"/>
    <col min="6" max="6" width="10.625" style="1" customWidth="1"/>
    <col min="7" max="7" width="10.625" style="3" customWidth="1"/>
    <col min="8" max="22" width="10.625" style="4" customWidth="1"/>
    <col min="23" max="47" width="10.625" style="1" customWidth="1"/>
    <col min="48" max="16384" width="9.125" style="1"/>
  </cols>
  <sheetData>
    <row r="1" spans="2:47" ht="3.75" customHeight="1" x14ac:dyDescent="0.2"/>
    <row r="2" spans="2:47" ht="20.25" x14ac:dyDescent="0.2">
      <c r="B2" s="149" t="s">
        <v>26</v>
      </c>
      <c r="C2" s="149"/>
      <c r="D2" s="149"/>
      <c r="E2" s="149"/>
      <c r="F2" s="149"/>
      <c r="G2" s="149"/>
    </row>
    <row r="3" spans="2:47" ht="4.9000000000000004" customHeight="1" x14ac:dyDescent="0.2"/>
    <row r="4" spans="2:47" s="38" customFormat="1" ht="20.100000000000001" customHeight="1" x14ac:dyDescent="0.2">
      <c r="B4" s="150" t="s">
        <v>3</v>
      </c>
      <c r="C4" s="123" t="s">
        <v>45</v>
      </c>
      <c r="D4" s="153" t="s">
        <v>46</v>
      </c>
      <c r="E4" s="135" t="s">
        <v>4</v>
      </c>
      <c r="F4" s="129" t="s">
        <v>5</v>
      </c>
      <c r="G4" s="32" t="s">
        <v>0</v>
      </c>
      <c r="H4" s="33">
        <v>1</v>
      </c>
      <c r="I4" s="34">
        <v>2</v>
      </c>
      <c r="J4" s="34">
        <v>3</v>
      </c>
      <c r="K4" s="34">
        <v>4</v>
      </c>
      <c r="L4" s="34">
        <v>5</v>
      </c>
      <c r="M4" s="34">
        <v>6</v>
      </c>
      <c r="N4" s="34">
        <v>7</v>
      </c>
      <c r="O4" s="34">
        <v>8</v>
      </c>
      <c r="P4" s="34">
        <v>9</v>
      </c>
      <c r="Q4" s="34">
        <v>10</v>
      </c>
      <c r="R4" s="34">
        <v>11</v>
      </c>
      <c r="S4" s="34">
        <v>12</v>
      </c>
      <c r="T4" s="34">
        <v>13</v>
      </c>
      <c r="U4" s="34">
        <v>14</v>
      </c>
      <c r="V4" s="34">
        <v>15</v>
      </c>
      <c r="W4" s="34">
        <v>16</v>
      </c>
      <c r="X4" s="34">
        <v>17</v>
      </c>
      <c r="Y4" s="33">
        <v>18</v>
      </c>
      <c r="Z4" s="34">
        <v>19</v>
      </c>
      <c r="AA4" s="34">
        <v>20</v>
      </c>
      <c r="AB4" s="34">
        <v>21</v>
      </c>
      <c r="AC4" s="34">
        <v>22</v>
      </c>
      <c r="AD4" s="34">
        <v>23</v>
      </c>
      <c r="AE4" s="34">
        <v>24</v>
      </c>
      <c r="AF4" s="34">
        <v>25</v>
      </c>
      <c r="AG4" s="34">
        <v>26</v>
      </c>
      <c r="AH4" s="34">
        <v>27</v>
      </c>
      <c r="AI4" s="34">
        <v>28</v>
      </c>
      <c r="AJ4" s="34">
        <v>29</v>
      </c>
      <c r="AK4" s="96">
        <v>30</v>
      </c>
      <c r="AL4" s="34">
        <v>31</v>
      </c>
      <c r="AM4" s="34">
        <v>32</v>
      </c>
      <c r="AN4" s="34">
        <v>33</v>
      </c>
      <c r="AO4" s="34">
        <v>34</v>
      </c>
      <c r="AP4" s="34">
        <v>35</v>
      </c>
      <c r="AQ4" s="34">
        <v>36</v>
      </c>
      <c r="AR4" s="34">
        <v>37</v>
      </c>
      <c r="AS4" s="34">
        <v>38</v>
      </c>
      <c r="AT4" s="34">
        <v>39</v>
      </c>
      <c r="AU4" s="35">
        <v>40</v>
      </c>
    </row>
    <row r="5" spans="2:47" s="38" customFormat="1" ht="20.100000000000001" customHeight="1" x14ac:dyDescent="0.2">
      <c r="B5" s="151"/>
      <c r="C5" s="152"/>
      <c r="D5" s="154"/>
      <c r="E5" s="136"/>
      <c r="F5" s="130"/>
      <c r="G5" s="36" t="s">
        <v>1</v>
      </c>
      <c r="H5" s="37">
        <v>1801</v>
      </c>
      <c r="I5" s="37">
        <v>1528</v>
      </c>
      <c r="J5" s="37">
        <v>1614</v>
      </c>
      <c r="K5" s="37">
        <v>712</v>
      </c>
      <c r="L5" s="37">
        <v>1102</v>
      </c>
      <c r="M5" s="37">
        <v>1402</v>
      </c>
      <c r="N5" s="37">
        <v>801</v>
      </c>
      <c r="O5" s="37">
        <v>1230</v>
      </c>
      <c r="P5" s="37">
        <v>722</v>
      </c>
      <c r="Q5" s="37">
        <v>1024</v>
      </c>
      <c r="R5" s="37">
        <v>619</v>
      </c>
      <c r="S5" s="37">
        <v>616</v>
      </c>
      <c r="T5" s="37">
        <v>1025</v>
      </c>
      <c r="U5" s="37">
        <v>618</v>
      </c>
      <c r="V5" s="37">
        <v>1127</v>
      </c>
      <c r="W5" s="37">
        <v>1726</v>
      </c>
      <c r="X5" s="37">
        <v>1125</v>
      </c>
      <c r="Y5" s="37">
        <v>922</v>
      </c>
      <c r="Z5" s="37">
        <v>1129</v>
      </c>
      <c r="AA5" s="37">
        <v>1622</v>
      </c>
      <c r="AB5" s="37">
        <v>821</v>
      </c>
      <c r="AC5" s="37">
        <v>1805</v>
      </c>
      <c r="AD5" s="37">
        <v>726</v>
      </c>
      <c r="AE5" s="37"/>
      <c r="AF5" s="37"/>
      <c r="AG5" s="37"/>
      <c r="AH5" s="37"/>
      <c r="AI5" s="37"/>
      <c r="AJ5" s="37"/>
      <c r="AK5" s="94"/>
      <c r="AL5" s="7"/>
      <c r="AM5" s="7"/>
      <c r="AN5" s="7"/>
      <c r="AO5" s="7"/>
      <c r="AP5" s="7"/>
      <c r="AQ5" s="7"/>
      <c r="AR5" s="7"/>
      <c r="AS5" s="7"/>
      <c r="AT5" s="7"/>
      <c r="AU5" s="9"/>
    </row>
    <row r="6" spans="2:47" s="38" customFormat="1" ht="30" customHeight="1" x14ac:dyDescent="0.2">
      <c r="B6" s="77" t="s">
        <v>12</v>
      </c>
      <c r="C6" s="62" t="s">
        <v>53</v>
      </c>
      <c r="D6" s="35"/>
      <c r="E6" s="39">
        <v>6000</v>
      </c>
      <c r="F6" s="12">
        <f>E6*G6</f>
        <v>42000</v>
      </c>
      <c r="G6" s="95">
        <f t="shared" ref="G6:G19" si="0">SUM(H6:AU6)</f>
        <v>7</v>
      </c>
      <c r="H6" s="40"/>
      <c r="I6" s="40"/>
      <c r="J6" s="40">
        <v>1</v>
      </c>
      <c r="K6" s="40"/>
      <c r="L6" s="40"/>
      <c r="M6" s="40">
        <v>1</v>
      </c>
      <c r="N6" s="40"/>
      <c r="O6" s="40"/>
      <c r="P6" s="40">
        <v>1</v>
      </c>
      <c r="Q6" s="40"/>
      <c r="R6" s="40">
        <v>1</v>
      </c>
      <c r="S6" s="40"/>
      <c r="T6" s="40"/>
      <c r="U6" s="40">
        <v>1</v>
      </c>
      <c r="V6" s="40"/>
      <c r="W6" s="40"/>
      <c r="X6" s="40">
        <v>1</v>
      </c>
      <c r="Y6" s="40"/>
      <c r="Z6" s="40"/>
      <c r="AA6" s="40"/>
      <c r="AB6" s="40"/>
      <c r="AC6" s="40">
        <v>1</v>
      </c>
      <c r="AD6" s="40"/>
      <c r="AE6" s="40"/>
      <c r="AF6" s="40"/>
      <c r="AG6" s="40"/>
      <c r="AH6" s="40"/>
      <c r="AI6" s="40"/>
      <c r="AJ6" s="40"/>
      <c r="AK6" s="97"/>
      <c r="AL6" s="40"/>
      <c r="AM6" s="40"/>
      <c r="AN6" s="40"/>
      <c r="AO6" s="40"/>
      <c r="AP6" s="40"/>
      <c r="AQ6" s="40"/>
      <c r="AR6" s="40"/>
      <c r="AS6" s="40"/>
      <c r="AT6" s="40"/>
      <c r="AU6" s="41"/>
    </row>
    <row r="7" spans="2:47" s="38" customFormat="1" ht="30" customHeight="1" x14ac:dyDescent="0.2">
      <c r="B7" s="78" t="s">
        <v>13</v>
      </c>
      <c r="C7" s="63" t="s">
        <v>54</v>
      </c>
      <c r="D7" s="64"/>
      <c r="E7" s="42">
        <v>6500</v>
      </c>
      <c r="F7" s="18">
        <f t="shared" ref="F7:F19" si="1">E7*G7</f>
        <v>45500</v>
      </c>
      <c r="G7" s="95">
        <f t="shared" si="0"/>
        <v>7</v>
      </c>
      <c r="H7" s="43"/>
      <c r="I7" s="43"/>
      <c r="J7" s="43"/>
      <c r="K7" s="43">
        <v>1</v>
      </c>
      <c r="L7" s="43"/>
      <c r="M7" s="43"/>
      <c r="N7" s="43"/>
      <c r="O7" s="43"/>
      <c r="P7" s="43"/>
      <c r="Q7" s="43">
        <v>1</v>
      </c>
      <c r="R7" s="43"/>
      <c r="S7" s="43"/>
      <c r="T7" s="43"/>
      <c r="U7" s="43"/>
      <c r="V7" s="43">
        <v>1</v>
      </c>
      <c r="W7" s="43">
        <v>1</v>
      </c>
      <c r="X7" s="43">
        <v>1</v>
      </c>
      <c r="Y7" s="43">
        <v>1</v>
      </c>
      <c r="Z7" s="43"/>
      <c r="AA7" s="43"/>
      <c r="AB7" s="43"/>
      <c r="AC7" s="43">
        <v>1</v>
      </c>
      <c r="AD7" s="43"/>
      <c r="AE7" s="43"/>
      <c r="AF7" s="43"/>
      <c r="AG7" s="43"/>
      <c r="AH7" s="43"/>
      <c r="AI7" s="43"/>
      <c r="AJ7" s="43"/>
      <c r="AK7" s="98"/>
      <c r="AL7" s="43"/>
      <c r="AM7" s="43"/>
      <c r="AN7" s="43"/>
      <c r="AO7" s="43"/>
      <c r="AP7" s="43"/>
      <c r="AQ7" s="43"/>
      <c r="AR7" s="43"/>
      <c r="AS7" s="43"/>
      <c r="AT7" s="43"/>
      <c r="AU7" s="44"/>
    </row>
    <row r="8" spans="2:47" s="38" customFormat="1" ht="30" customHeight="1" x14ac:dyDescent="0.2">
      <c r="B8" s="78" t="s">
        <v>14</v>
      </c>
      <c r="C8" s="63" t="s">
        <v>55</v>
      </c>
      <c r="D8" s="64"/>
      <c r="E8" s="42">
        <v>7000</v>
      </c>
      <c r="F8" s="18">
        <f t="shared" si="1"/>
        <v>14000</v>
      </c>
      <c r="G8" s="95">
        <f t="shared" si="0"/>
        <v>2</v>
      </c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>
        <v>1</v>
      </c>
      <c r="V8" s="43"/>
      <c r="W8" s="43"/>
      <c r="X8" s="43"/>
      <c r="Y8" s="43"/>
      <c r="Z8" s="43"/>
      <c r="AA8" s="43"/>
      <c r="AB8" s="43"/>
      <c r="AC8" s="43">
        <v>1</v>
      </c>
      <c r="AD8" s="43"/>
      <c r="AE8" s="43"/>
      <c r="AF8" s="43"/>
      <c r="AG8" s="43"/>
      <c r="AH8" s="43"/>
      <c r="AI8" s="43"/>
      <c r="AJ8" s="43"/>
      <c r="AK8" s="98"/>
      <c r="AL8" s="43"/>
      <c r="AM8" s="43"/>
      <c r="AN8" s="43"/>
      <c r="AO8" s="43"/>
      <c r="AP8" s="43"/>
      <c r="AQ8" s="43"/>
      <c r="AR8" s="43"/>
      <c r="AS8" s="43"/>
      <c r="AT8" s="43"/>
      <c r="AU8" s="44"/>
    </row>
    <row r="9" spans="2:47" s="38" customFormat="1" ht="30" customHeight="1" x14ac:dyDescent="0.2">
      <c r="B9" s="78" t="s">
        <v>15</v>
      </c>
      <c r="C9" s="63" t="s">
        <v>57</v>
      </c>
      <c r="D9" s="64"/>
      <c r="E9" s="42">
        <v>5500</v>
      </c>
      <c r="F9" s="18">
        <f t="shared" si="1"/>
        <v>99000</v>
      </c>
      <c r="G9" s="95">
        <f t="shared" si="0"/>
        <v>18</v>
      </c>
      <c r="H9" s="43">
        <v>4</v>
      </c>
      <c r="I9" s="43">
        <v>1</v>
      </c>
      <c r="J9" s="43">
        <v>2</v>
      </c>
      <c r="K9" s="43"/>
      <c r="L9" s="43">
        <v>2</v>
      </c>
      <c r="M9" s="43"/>
      <c r="N9" s="43">
        <v>1</v>
      </c>
      <c r="O9" s="43"/>
      <c r="P9" s="43"/>
      <c r="Q9" s="43"/>
      <c r="R9" s="43">
        <v>1</v>
      </c>
      <c r="S9" s="43">
        <v>1</v>
      </c>
      <c r="T9" s="43"/>
      <c r="U9" s="43">
        <v>1</v>
      </c>
      <c r="V9" s="43"/>
      <c r="W9" s="43"/>
      <c r="X9" s="43">
        <v>2</v>
      </c>
      <c r="Y9" s="43"/>
      <c r="Z9" s="43"/>
      <c r="AA9" s="43">
        <v>2</v>
      </c>
      <c r="AB9" s="43">
        <v>1</v>
      </c>
      <c r="AC9" s="43"/>
      <c r="AD9" s="43"/>
      <c r="AE9" s="43"/>
      <c r="AF9" s="43"/>
      <c r="AG9" s="43"/>
      <c r="AH9" s="43"/>
      <c r="AI9" s="43"/>
      <c r="AJ9" s="43"/>
      <c r="AK9" s="98"/>
      <c r="AL9" s="43"/>
      <c r="AM9" s="43"/>
      <c r="AN9" s="43"/>
      <c r="AO9" s="43"/>
      <c r="AP9" s="43"/>
      <c r="AQ9" s="43"/>
      <c r="AR9" s="43"/>
      <c r="AS9" s="43"/>
      <c r="AT9" s="43"/>
      <c r="AU9" s="44"/>
    </row>
    <row r="10" spans="2:47" s="38" customFormat="1" ht="30" customHeight="1" x14ac:dyDescent="0.2">
      <c r="B10" s="78" t="s">
        <v>16</v>
      </c>
      <c r="C10" s="63" t="s">
        <v>58</v>
      </c>
      <c r="D10" s="64"/>
      <c r="E10" s="42">
        <v>4000</v>
      </c>
      <c r="F10" s="18">
        <f t="shared" si="1"/>
        <v>16000</v>
      </c>
      <c r="G10" s="95">
        <f t="shared" si="0"/>
        <v>4</v>
      </c>
      <c r="H10" s="43"/>
      <c r="I10" s="43"/>
      <c r="J10" s="43"/>
      <c r="K10" s="43"/>
      <c r="L10" s="43"/>
      <c r="M10" s="43">
        <v>1</v>
      </c>
      <c r="N10" s="43"/>
      <c r="O10" s="43"/>
      <c r="P10" s="43"/>
      <c r="Q10" s="43"/>
      <c r="R10" s="43"/>
      <c r="S10" s="43"/>
      <c r="T10" s="43">
        <v>1</v>
      </c>
      <c r="U10" s="43"/>
      <c r="V10" s="43"/>
      <c r="W10" s="43"/>
      <c r="X10" s="43">
        <v>1</v>
      </c>
      <c r="Y10" s="43"/>
      <c r="Z10" s="43"/>
      <c r="AA10" s="43"/>
      <c r="AB10" s="43">
        <v>1</v>
      </c>
      <c r="AC10" s="43"/>
      <c r="AD10" s="43"/>
      <c r="AE10" s="43"/>
      <c r="AF10" s="43"/>
      <c r="AG10" s="43"/>
      <c r="AH10" s="43"/>
      <c r="AI10" s="43"/>
      <c r="AJ10" s="43"/>
      <c r="AK10" s="98"/>
      <c r="AL10" s="43"/>
      <c r="AM10" s="43"/>
      <c r="AN10" s="43"/>
      <c r="AO10" s="43"/>
      <c r="AP10" s="43"/>
      <c r="AQ10" s="43"/>
      <c r="AR10" s="43"/>
      <c r="AS10" s="43"/>
      <c r="AT10" s="43"/>
      <c r="AU10" s="44"/>
    </row>
    <row r="11" spans="2:47" s="38" customFormat="1" ht="30" customHeight="1" x14ac:dyDescent="0.2">
      <c r="B11" s="78" t="s">
        <v>17</v>
      </c>
      <c r="C11" s="63" t="s">
        <v>59</v>
      </c>
      <c r="D11" s="64"/>
      <c r="E11" s="42">
        <v>4000</v>
      </c>
      <c r="F11" s="18">
        <f t="shared" si="1"/>
        <v>16000</v>
      </c>
      <c r="G11" s="95">
        <f t="shared" si="0"/>
        <v>4</v>
      </c>
      <c r="H11" s="43"/>
      <c r="I11" s="43"/>
      <c r="J11" s="43"/>
      <c r="K11" s="43"/>
      <c r="L11" s="43"/>
      <c r="M11" s="43"/>
      <c r="N11" s="43"/>
      <c r="O11" s="43">
        <v>1</v>
      </c>
      <c r="P11" s="43"/>
      <c r="Q11" s="43"/>
      <c r="R11" s="43">
        <v>1</v>
      </c>
      <c r="S11" s="43"/>
      <c r="T11" s="43"/>
      <c r="U11" s="43">
        <v>1</v>
      </c>
      <c r="V11" s="43"/>
      <c r="W11" s="43"/>
      <c r="X11" s="43">
        <v>1</v>
      </c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98"/>
      <c r="AL11" s="43"/>
      <c r="AM11" s="43"/>
      <c r="AN11" s="43"/>
      <c r="AO11" s="43"/>
      <c r="AP11" s="43"/>
      <c r="AQ11" s="43"/>
      <c r="AR11" s="43"/>
      <c r="AS11" s="43"/>
      <c r="AT11" s="43"/>
      <c r="AU11" s="44"/>
    </row>
    <row r="12" spans="2:47" s="38" customFormat="1" ht="30" customHeight="1" x14ac:dyDescent="0.2">
      <c r="B12" s="78" t="s">
        <v>18</v>
      </c>
      <c r="C12" s="63" t="s">
        <v>60</v>
      </c>
      <c r="D12" s="64"/>
      <c r="E12" s="42">
        <v>4000</v>
      </c>
      <c r="F12" s="18">
        <f t="shared" si="1"/>
        <v>12000</v>
      </c>
      <c r="G12" s="95">
        <f t="shared" si="0"/>
        <v>3</v>
      </c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>
        <v>1</v>
      </c>
      <c r="W12" s="43"/>
      <c r="X12" s="43"/>
      <c r="Y12" s="43"/>
      <c r="Z12" s="43"/>
      <c r="AA12" s="43">
        <v>1</v>
      </c>
      <c r="AB12" s="43">
        <v>1</v>
      </c>
      <c r="AC12" s="43"/>
      <c r="AD12" s="43"/>
      <c r="AE12" s="43"/>
      <c r="AF12" s="43"/>
      <c r="AG12" s="43"/>
      <c r="AH12" s="43"/>
      <c r="AI12" s="43"/>
      <c r="AJ12" s="43"/>
      <c r="AK12" s="98"/>
      <c r="AL12" s="43"/>
      <c r="AM12" s="43"/>
      <c r="AN12" s="43"/>
      <c r="AO12" s="43"/>
      <c r="AP12" s="43"/>
      <c r="AQ12" s="43"/>
      <c r="AR12" s="43"/>
      <c r="AS12" s="43"/>
      <c r="AT12" s="43"/>
      <c r="AU12" s="44"/>
    </row>
    <row r="13" spans="2:47" s="38" customFormat="1" ht="30" customHeight="1" x14ac:dyDescent="0.2">
      <c r="B13" s="78" t="s">
        <v>19</v>
      </c>
      <c r="C13" s="63" t="s">
        <v>59</v>
      </c>
      <c r="D13" s="64"/>
      <c r="E13" s="42">
        <v>5000</v>
      </c>
      <c r="F13" s="18">
        <f t="shared" si="1"/>
        <v>5000</v>
      </c>
      <c r="G13" s="95">
        <f t="shared" si="0"/>
        <v>1</v>
      </c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>
        <v>1</v>
      </c>
      <c r="AE13" s="45"/>
      <c r="AF13" s="45"/>
      <c r="AG13" s="45"/>
      <c r="AH13" s="45"/>
      <c r="AI13" s="45"/>
      <c r="AJ13" s="45"/>
      <c r="AK13" s="99"/>
      <c r="AL13" s="43"/>
      <c r="AM13" s="43"/>
      <c r="AN13" s="43"/>
      <c r="AO13" s="43"/>
      <c r="AP13" s="43"/>
      <c r="AQ13" s="43"/>
      <c r="AR13" s="43"/>
      <c r="AS13" s="43"/>
      <c r="AT13" s="43"/>
      <c r="AU13" s="44"/>
    </row>
    <row r="14" spans="2:47" s="38" customFormat="1" ht="30" customHeight="1" x14ac:dyDescent="0.2">
      <c r="B14" s="78" t="s">
        <v>20</v>
      </c>
      <c r="C14" s="63" t="s">
        <v>53</v>
      </c>
      <c r="D14" s="64"/>
      <c r="E14" s="42">
        <v>7000</v>
      </c>
      <c r="F14" s="18">
        <f t="shared" si="1"/>
        <v>7000</v>
      </c>
      <c r="G14" s="95">
        <f t="shared" si="0"/>
        <v>1</v>
      </c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>
        <v>1</v>
      </c>
      <c r="AB14" s="43"/>
      <c r="AC14" s="43"/>
      <c r="AD14" s="43"/>
      <c r="AE14" s="43"/>
      <c r="AF14" s="43"/>
      <c r="AG14" s="43"/>
      <c r="AH14" s="43"/>
      <c r="AI14" s="43"/>
      <c r="AJ14" s="43"/>
      <c r="AK14" s="98"/>
      <c r="AL14" s="43"/>
      <c r="AM14" s="43"/>
      <c r="AN14" s="43"/>
      <c r="AO14" s="43"/>
      <c r="AP14" s="43"/>
      <c r="AQ14" s="43"/>
      <c r="AR14" s="43"/>
      <c r="AS14" s="43"/>
      <c r="AT14" s="43"/>
      <c r="AU14" s="44"/>
    </row>
    <row r="15" spans="2:47" s="38" customFormat="1" ht="30" customHeight="1" x14ac:dyDescent="0.2">
      <c r="B15" s="78" t="s">
        <v>21</v>
      </c>
      <c r="C15" s="63" t="s">
        <v>61</v>
      </c>
      <c r="D15" s="64"/>
      <c r="E15" s="42">
        <v>7000</v>
      </c>
      <c r="F15" s="18">
        <f t="shared" si="1"/>
        <v>21000</v>
      </c>
      <c r="G15" s="95">
        <f t="shared" si="0"/>
        <v>3</v>
      </c>
      <c r="H15" s="43"/>
      <c r="I15" s="43"/>
      <c r="J15" s="43">
        <v>1</v>
      </c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>
        <v>1</v>
      </c>
      <c r="AA15" s="43">
        <v>1</v>
      </c>
      <c r="AB15" s="43"/>
      <c r="AC15" s="43"/>
      <c r="AD15" s="43"/>
      <c r="AE15" s="43"/>
      <c r="AF15" s="43"/>
      <c r="AG15" s="43"/>
      <c r="AH15" s="43"/>
      <c r="AI15" s="43"/>
      <c r="AJ15" s="43"/>
      <c r="AK15" s="98"/>
      <c r="AL15" s="43"/>
      <c r="AM15" s="43"/>
      <c r="AN15" s="43"/>
      <c r="AO15" s="43"/>
      <c r="AP15" s="43"/>
      <c r="AQ15" s="43"/>
      <c r="AR15" s="43"/>
      <c r="AS15" s="43"/>
      <c r="AT15" s="43"/>
      <c r="AU15" s="44"/>
    </row>
    <row r="16" spans="2:47" s="38" customFormat="1" ht="30" customHeight="1" x14ac:dyDescent="0.2">
      <c r="B16" s="78" t="s">
        <v>22</v>
      </c>
      <c r="C16" s="63"/>
      <c r="D16" s="64"/>
      <c r="E16" s="42">
        <v>7000</v>
      </c>
      <c r="F16" s="18">
        <f t="shared" si="1"/>
        <v>0</v>
      </c>
      <c r="G16" s="95">
        <f t="shared" si="0"/>
        <v>0</v>
      </c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98"/>
      <c r="AL16" s="43"/>
      <c r="AM16" s="43"/>
      <c r="AN16" s="43"/>
      <c r="AO16" s="43"/>
      <c r="AP16" s="43"/>
      <c r="AQ16" s="43"/>
      <c r="AR16" s="43"/>
      <c r="AS16" s="43"/>
      <c r="AT16" s="43"/>
      <c r="AU16" s="44"/>
    </row>
    <row r="17" spans="2:47" s="38" customFormat="1" ht="30" customHeight="1" x14ac:dyDescent="0.2">
      <c r="B17" s="78" t="s">
        <v>23</v>
      </c>
      <c r="C17" s="63"/>
      <c r="D17" s="64"/>
      <c r="E17" s="42">
        <v>7000</v>
      </c>
      <c r="F17" s="18">
        <f t="shared" si="1"/>
        <v>0</v>
      </c>
      <c r="G17" s="95">
        <f t="shared" si="0"/>
        <v>0</v>
      </c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98"/>
      <c r="AL17" s="43"/>
      <c r="AM17" s="43"/>
      <c r="AN17" s="43"/>
      <c r="AO17" s="43"/>
      <c r="AP17" s="43"/>
      <c r="AQ17" s="43"/>
      <c r="AR17" s="43"/>
      <c r="AS17" s="43"/>
      <c r="AT17" s="43"/>
      <c r="AU17" s="44"/>
    </row>
    <row r="18" spans="2:47" s="38" customFormat="1" ht="30" customHeight="1" x14ac:dyDescent="0.2">
      <c r="B18" s="78" t="s">
        <v>24</v>
      </c>
      <c r="C18" s="63"/>
      <c r="D18" s="64"/>
      <c r="E18" s="42">
        <v>7000</v>
      </c>
      <c r="F18" s="18">
        <f t="shared" si="1"/>
        <v>0</v>
      </c>
      <c r="G18" s="95">
        <f t="shared" si="0"/>
        <v>0</v>
      </c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99"/>
      <c r="AL18" s="43"/>
      <c r="AM18" s="43"/>
      <c r="AN18" s="43"/>
      <c r="AO18" s="43"/>
      <c r="AP18" s="43"/>
      <c r="AQ18" s="43"/>
      <c r="AR18" s="43"/>
      <c r="AS18" s="43"/>
      <c r="AT18" s="43"/>
      <c r="AU18" s="44"/>
    </row>
    <row r="19" spans="2:47" s="38" customFormat="1" ht="30" customHeight="1" x14ac:dyDescent="0.2">
      <c r="B19" s="79" t="s">
        <v>25</v>
      </c>
      <c r="C19" s="65"/>
      <c r="D19" s="9"/>
      <c r="E19" s="61">
        <v>7000</v>
      </c>
      <c r="F19" s="50">
        <f t="shared" si="1"/>
        <v>0</v>
      </c>
      <c r="G19" s="95">
        <f t="shared" si="0"/>
        <v>0</v>
      </c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98"/>
      <c r="AL19" s="45"/>
      <c r="AM19" s="45"/>
      <c r="AN19" s="45"/>
      <c r="AO19" s="45"/>
      <c r="AP19" s="45"/>
      <c r="AQ19" s="45"/>
      <c r="AR19" s="45"/>
      <c r="AS19" s="45"/>
      <c r="AT19" s="45"/>
      <c r="AU19" s="60"/>
    </row>
    <row r="20" spans="2:47" s="38" customFormat="1" ht="20.100000000000001" customHeight="1" x14ac:dyDescent="0.2">
      <c r="B20" s="139" t="s">
        <v>8</v>
      </c>
      <c r="C20" s="140"/>
      <c r="D20" s="144"/>
      <c r="E20" s="146">
        <f>SUM(E6:E8,E10:E15)+E9*2</f>
        <v>61500</v>
      </c>
      <c r="F20" s="125">
        <f t="shared" ref="F20:X20" si="2">SUM(F6:F19)</f>
        <v>277500</v>
      </c>
      <c r="G20" s="125">
        <f t="shared" si="2"/>
        <v>50</v>
      </c>
      <c r="H20" s="23">
        <f t="shared" si="2"/>
        <v>4</v>
      </c>
      <c r="I20" s="23">
        <f t="shared" si="2"/>
        <v>1</v>
      </c>
      <c r="J20" s="23">
        <f t="shared" si="2"/>
        <v>4</v>
      </c>
      <c r="K20" s="23">
        <f t="shared" si="2"/>
        <v>1</v>
      </c>
      <c r="L20" s="23">
        <f t="shared" si="2"/>
        <v>2</v>
      </c>
      <c r="M20" s="23">
        <f t="shared" si="2"/>
        <v>2</v>
      </c>
      <c r="N20" s="23">
        <f t="shared" si="2"/>
        <v>1</v>
      </c>
      <c r="O20" s="23">
        <f t="shared" si="2"/>
        <v>1</v>
      </c>
      <c r="P20" s="23">
        <f t="shared" si="2"/>
        <v>1</v>
      </c>
      <c r="Q20" s="23">
        <f t="shared" si="2"/>
        <v>1</v>
      </c>
      <c r="R20" s="23">
        <f t="shared" si="2"/>
        <v>3</v>
      </c>
      <c r="S20" s="23">
        <f t="shared" si="2"/>
        <v>1</v>
      </c>
      <c r="T20" s="23">
        <f t="shared" si="2"/>
        <v>1</v>
      </c>
      <c r="U20" s="23">
        <f t="shared" si="2"/>
        <v>4</v>
      </c>
      <c r="V20" s="23">
        <f t="shared" si="2"/>
        <v>2</v>
      </c>
      <c r="W20" s="23">
        <f t="shared" si="2"/>
        <v>1</v>
      </c>
      <c r="X20" s="23">
        <f t="shared" si="2"/>
        <v>6</v>
      </c>
      <c r="Y20" s="23">
        <f t="shared" ref="Y20:AH20" si="3">SUM(Y6:Y19)</f>
        <v>1</v>
      </c>
      <c r="Z20" s="23">
        <f t="shared" si="3"/>
        <v>1</v>
      </c>
      <c r="AA20" s="23">
        <f t="shared" si="3"/>
        <v>5</v>
      </c>
      <c r="AB20" s="23">
        <f t="shared" si="3"/>
        <v>3</v>
      </c>
      <c r="AC20" s="23">
        <f t="shared" si="3"/>
        <v>3</v>
      </c>
      <c r="AD20" s="23">
        <f t="shared" si="3"/>
        <v>1</v>
      </c>
      <c r="AE20" s="23">
        <f t="shared" si="3"/>
        <v>0</v>
      </c>
      <c r="AF20" s="23">
        <f t="shared" si="3"/>
        <v>0</v>
      </c>
      <c r="AG20" s="23">
        <f t="shared" si="3"/>
        <v>0</v>
      </c>
      <c r="AH20" s="23">
        <f t="shared" si="3"/>
        <v>0</v>
      </c>
      <c r="AI20" s="23">
        <f>SUM(AI6:AI19)</f>
        <v>0</v>
      </c>
      <c r="AJ20" s="23">
        <f>SUM(AJ6:AJ19)</f>
        <v>0</v>
      </c>
      <c r="AK20" s="100">
        <f>SUM(AK6:AK19)</f>
        <v>0</v>
      </c>
      <c r="AL20" s="101">
        <f>SUM(AL6:AL19)</f>
        <v>0</v>
      </c>
      <c r="AM20" s="101">
        <f t="shared" ref="AM20:AU20" si="4">SUM(AM6:AM19)</f>
        <v>0</v>
      </c>
      <c r="AN20" s="101">
        <f t="shared" si="4"/>
        <v>0</v>
      </c>
      <c r="AO20" s="101">
        <f t="shared" si="4"/>
        <v>0</v>
      </c>
      <c r="AP20" s="101">
        <f t="shared" si="4"/>
        <v>0</v>
      </c>
      <c r="AQ20" s="101">
        <f t="shared" si="4"/>
        <v>0</v>
      </c>
      <c r="AR20" s="101">
        <f t="shared" si="4"/>
        <v>0</v>
      </c>
      <c r="AS20" s="101">
        <f t="shared" si="4"/>
        <v>0</v>
      </c>
      <c r="AT20" s="101">
        <f t="shared" si="4"/>
        <v>0</v>
      </c>
      <c r="AU20" s="102">
        <f t="shared" si="4"/>
        <v>0</v>
      </c>
    </row>
    <row r="21" spans="2:47" s="38" customFormat="1" ht="20.100000000000001" customHeight="1" x14ac:dyDescent="0.2">
      <c r="B21" s="141"/>
      <c r="C21" s="142"/>
      <c r="D21" s="145"/>
      <c r="E21" s="147"/>
      <c r="F21" s="126"/>
      <c r="G21" s="126"/>
      <c r="H21" s="46">
        <f>$E6*H6+$E7*H7+$E8*H8+$E9*H9+$E10*H10+$E11*H11+$E12*H12+$E14*H14+$E15*H15+$E16*H16+$E17*H17+$E18*H18+$E19*H19+$E13*H13</f>
        <v>22000</v>
      </c>
      <c r="I21" s="28">
        <f t="shared" ref="I21:AK21" si="5">$E6*I6+$E7*I7+$E8*I8+$E9*I9+$E10*I10+$E11*I11+$E12*I12+$E14*I14+$E15*I15+$E16*I16+$E17*I17+$E18*I18+$E19*I19+$E13*I13</f>
        <v>5500</v>
      </c>
      <c r="J21" s="28">
        <f t="shared" si="5"/>
        <v>24000</v>
      </c>
      <c r="K21" s="28">
        <f t="shared" si="5"/>
        <v>6500</v>
      </c>
      <c r="L21" s="28">
        <f t="shared" si="5"/>
        <v>11000</v>
      </c>
      <c r="M21" s="28">
        <f t="shared" si="5"/>
        <v>10000</v>
      </c>
      <c r="N21" s="28">
        <f t="shared" si="5"/>
        <v>5500</v>
      </c>
      <c r="O21" s="28">
        <f t="shared" si="5"/>
        <v>4000</v>
      </c>
      <c r="P21" s="28">
        <f t="shared" si="5"/>
        <v>6000</v>
      </c>
      <c r="Q21" s="28">
        <f t="shared" si="5"/>
        <v>6500</v>
      </c>
      <c r="R21" s="28">
        <f t="shared" si="5"/>
        <v>15500</v>
      </c>
      <c r="S21" s="28">
        <f t="shared" si="5"/>
        <v>5500</v>
      </c>
      <c r="T21" s="28">
        <f t="shared" si="5"/>
        <v>4000</v>
      </c>
      <c r="U21" s="28">
        <f t="shared" si="5"/>
        <v>22500</v>
      </c>
      <c r="V21" s="28">
        <f t="shared" si="5"/>
        <v>10500</v>
      </c>
      <c r="W21" s="28">
        <f t="shared" si="5"/>
        <v>6500</v>
      </c>
      <c r="X21" s="28">
        <f t="shared" si="5"/>
        <v>31500</v>
      </c>
      <c r="Y21" s="28">
        <f t="shared" si="5"/>
        <v>6500</v>
      </c>
      <c r="Z21" s="28">
        <f t="shared" si="5"/>
        <v>7000</v>
      </c>
      <c r="AA21" s="28">
        <f t="shared" si="5"/>
        <v>29000</v>
      </c>
      <c r="AB21" s="28">
        <f t="shared" si="5"/>
        <v>13500</v>
      </c>
      <c r="AC21" s="28">
        <f t="shared" si="5"/>
        <v>19500</v>
      </c>
      <c r="AD21" s="28">
        <f t="shared" si="5"/>
        <v>5000</v>
      </c>
      <c r="AE21" s="28">
        <f t="shared" si="5"/>
        <v>0</v>
      </c>
      <c r="AF21" s="28">
        <f t="shared" si="5"/>
        <v>0</v>
      </c>
      <c r="AG21" s="28">
        <f t="shared" si="5"/>
        <v>0</v>
      </c>
      <c r="AH21" s="28">
        <f t="shared" si="5"/>
        <v>0</v>
      </c>
      <c r="AI21" s="28">
        <f t="shared" si="5"/>
        <v>0</v>
      </c>
      <c r="AJ21" s="28">
        <f t="shared" si="5"/>
        <v>0</v>
      </c>
      <c r="AK21" s="74">
        <f t="shared" si="5"/>
        <v>0</v>
      </c>
      <c r="AL21" s="28">
        <f>$E6*AL6+$E7*AL7+$E8*AL8+$E9*AL9+$E10*AL10+$E11*AL11+$E12*AL12+$E14*AL14+$E15*AL15+$E16*AL16+$E17*AL17+$E18*AL18+$E19*AL19+$E13*AL13</f>
        <v>0</v>
      </c>
      <c r="AM21" s="28">
        <f>$E6*AM6+$E7*AM7+$E8*AM8+$E9*AM9+$E10*AM10+$E11*AM11+$E12*AM12+$E14*AM14+$E15*AM15+$E16*AM16+$E17*AM17+$E18*AM18+$E19*AM19+$E13*AM13</f>
        <v>0</v>
      </c>
      <c r="AN21" s="28">
        <f>$E6*AN6+$E7*AN7+$E8*AN8+$E9*AN9+$E10*AN10+$E11*AN11+$E12*AN12+$E14*AN14+$E15*AN15+$E16*AN16+$E17*AN17+$E18*AN18+$E19*AN19+$E13*AN13</f>
        <v>0</v>
      </c>
      <c r="AO21" s="28">
        <f t="shared" ref="AO21:AU21" si="6">$E6*AO6+$E7*AO7+$E8*AO8+$E9*AO9+$E10*AO10+$E11*AO11+$E12*AO12+$E14*AO14+$E15*AO15+$E16*AO16+$E17*AO17+$E18*AO18+$E19*AO19+$E13*AO13</f>
        <v>0</v>
      </c>
      <c r="AP21" s="28">
        <f t="shared" si="6"/>
        <v>0</v>
      </c>
      <c r="AQ21" s="28">
        <f t="shared" si="6"/>
        <v>0</v>
      </c>
      <c r="AR21" s="28">
        <f t="shared" si="6"/>
        <v>0</v>
      </c>
      <c r="AS21" s="28">
        <f t="shared" si="6"/>
        <v>0</v>
      </c>
      <c r="AT21" s="28">
        <f t="shared" si="6"/>
        <v>0</v>
      </c>
      <c r="AU21" s="29">
        <f t="shared" si="6"/>
        <v>0</v>
      </c>
    </row>
  </sheetData>
  <sheetProtection password="CC67" sheet="1" objects="1" scenarios="1"/>
  <mergeCells count="10">
    <mergeCell ref="B20:D21"/>
    <mergeCell ref="E20:E21"/>
    <mergeCell ref="F20:F21"/>
    <mergeCell ref="G20:G21"/>
    <mergeCell ref="B2:G2"/>
    <mergeCell ref="B4:B5"/>
    <mergeCell ref="C4:C5"/>
    <mergeCell ref="D4:D5"/>
    <mergeCell ref="E4:E5"/>
    <mergeCell ref="F4:F5"/>
  </mergeCells>
  <phoneticPr fontId="2" type="noConversion"/>
  <pageMargins left="0.7" right="0.7" top="0.75" bottom="0.75" header="0.3" footer="0.3"/>
  <pageSetup paperSize="9" scale="31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1:AU21"/>
  <sheetViews>
    <sheetView showGridLines="0" zoomScale="85" zoomScaleNormal="85" workbookViewId="0">
      <pane xSplit="7" ySplit="5" topLeftCell="H6" activePane="bottomRight" state="frozen"/>
      <selection pane="topRight" activeCell="G1" sqref="G1"/>
      <selection pane="bottomLeft" activeCell="A6" sqref="A6"/>
      <selection pane="bottomRight" activeCell="J18" sqref="J18"/>
    </sheetView>
  </sheetViews>
  <sheetFormatPr defaultColWidth="9.125" defaultRowHeight="14.25" x14ac:dyDescent="0.2"/>
  <cols>
    <col min="1" max="1" width="0.375" style="1" customWidth="1"/>
    <col min="2" max="2" width="16.875" style="1" bestFit="1" customWidth="1"/>
    <col min="3" max="4" width="13.625" style="1" customWidth="1"/>
    <col min="5" max="5" width="10.625" style="1" hidden="1" customWidth="1"/>
    <col min="6" max="6" width="10.625" style="1" customWidth="1"/>
    <col min="7" max="7" width="10.625" style="3" customWidth="1"/>
    <col min="8" max="22" width="10.625" style="4" customWidth="1"/>
    <col min="23" max="47" width="10.625" style="1" customWidth="1"/>
    <col min="48" max="16384" width="9.125" style="1"/>
  </cols>
  <sheetData>
    <row r="1" spans="2:47" ht="3.75" customHeight="1" x14ac:dyDescent="0.2"/>
    <row r="2" spans="2:47" ht="20.25" x14ac:dyDescent="0.2">
      <c r="B2" s="149" t="s">
        <v>26</v>
      </c>
      <c r="C2" s="149"/>
      <c r="D2" s="149"/>
      <c r="E2" s="149"/>
      <c r="F2" s="149"/>
      <c r="G2" s="149"/>
    </row>
    <row r="3" spans="2:47" ht="4.9000000000000004" customHeight="1" x14ac:dyDescent="0.2"/>
    <row r="4" spans="2:47" s="38" customFormat="1" ht="20.100000000000001" customHeight="1" x14ac:dyDescent="0.2">
      <c r="B4" s="150" t="s">
        <v>3</v>
      </c>
      <c r="C4" s="123" t="s">
        <v>45</v>
      </c>
      <c r="D4" s="153" t="s">
        <v>46</v>
      </c>
      <c r="E4" s="135" t="s">
        <v>4</v>
      </c>
      <c r="F4" s="129" t="s">
        <v>5</v>
      </c>
      <c r="G4" s="32" t="s">
        <v>0</v>
      </c>
      <c r="H4" s="33">
        <v>1</v>
      </c>
      <c r="I4" s="34">
        <v>2</v>
      </c>
      <c r="J4" s="34">
        <v>3</v>
      </c>
      <c r="K4" s="34">
        <v>4</v>
      </c>
      <c r="L4" s="34">
        <v>5</v>
      </c>
      <c r="M4" s="34">
        <v>6</v>
      </c>
      <c r="N4" s="34">
        <v>7</v>
      </c>
      <c r="O4" s="34">
        <v>8</v>
      </c>
      <c r="P4" s="34">
        <v>9</v>
      </c>
      <c r="Q4" s="34">
        <v>10</v>
      </c>
      <c r="R4" s="34">
        <v>11</v>
      </c>
      <c r="S4" s="34">
        <v>12</v>
      </c>
      <c r="T4" s="34">
        <v>13</v>
      </c>
      <c r="U4" s="34">
        <v>14</v>
      </c>
      <c r="V4" s="34">
        <v>15</v>
      </c>
      <c r="W4" s="34">
        <v>16</v>
      </c>
      <c r="X4" s="34">
        <v>17</v>
      </c>
      <c r="Y4" s="33">
        <v>18</v>
      </c>
      <c r="Z4" s="34">
        <v>19</v>
      </c>
      <c r="AA4" s="34">
        <v>20</v>
      </c>
      <c r="AB4" s="34">
        <v>21</v>
      </c>
      <c r="AC4" s="34">
        <v>22</v>
      </c>
      <c r="AD4" s="34">
        <v>23</v>
      </c>
      <c r="AE4" s="34">
        <v>24</v>
      </c>
      <c r="AF4" s="34">
        <v>25</v>
      </c>
      <c r="AG4" s="34">
        <v>26</v>
      </c>
      <c r="AH4" s="34">
        <v>27</v>
      </c>
      <c r="AI4" s="34">
        <v>28</v>
      </c>
      <c r="AJ4" s="34">
        <v>29</v>
      </c>
      <c r="AK4" s="96">
        <v>30</v>
      </c>
      <c r="AL4" s="34">
        <v>31</v>
      </c>
      <c r="AM4" s="34">
        <v>32</v>
      </c>
      <c r="AN4" s="34">
        <v>33</v>
      </c>
      <c r="AO4" s="34">
        <v>34</v>
      </c>
      <c r="AP4" s="34">
        <v>35</v>
      </c>
      <c r="AQ4" s="34">
        <v>36</v>
      </c>
      <c r="AR4" s="34">
        <v>37</v>
      </c>
      <c r="AS4" s="34">
        <v>38</v>
      </c>
      <c r="AT4" s="34">
        <v>39</v>
      </c>
      <c r="AU4" s="35">
        <v>40</v>
      </c>
    </row>
    <row r="5" spans="2:47" s="38" customFormat="1" ht="20.100000000000001" customHeight="1" x14ac:dyDescent="0.2">
      <c r="B5" s="151"/>
      <c r="C5" s="152"/>
      <c r="D5" s="154"/>
      <c r="E5" s="136"/>
      <c r="F5" s="130"/>
      <c r="G5" s="36" t="s">
        <v>1</v>
      </c>
      <c r="H5" s="37">
        <v>824</v>
      </c>
      <c r="I5" s="37">
        <v>509</v>
      </c>
      <c r="J5" s="37">
        <v>617</v>
      </c>
      <c r="K5" s="37">
        <v>1221</v>
      </c>
      <c r="L5" s="37">
        <v>1807</v>
      </c>
      <c r="M5" s="37" t="s">
        <v>63</v>
      </c>
      <c r="N5" s="37">
        <v>1102</v>
      </c>
      <c r="O5" s="37">
        <v>1123</v>
      </c>
      <c r="P5" s="37">
        <v>1717</v>
      </c>
      <c r="Q5" s="37">
        <v>508</v>
      </c>
      <c r="R5" s="37">
        <v>1702</v>
      </c>
      <c r="S5" s="37">
        <v>720</v>
      </c>
      <c r="T5" s="37">
        <v>714</v>
      </c>
      <c r="U5" s="37">
        <v>1506</v>
      </c>
      <c r="V5" s="37">
        <v>618</v>
      </c>
      <c r="W5" s="37">
        <v>818</v>
      </c>
      <c r="X5" s="37">
        <v>1720</v>
      </c>
      <c r="Y5" s="37">
        <v>611</v>
      </c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94"/>
      <c r="AL5" s="7"/>
      <c r="AM5" s="7"/>
      <c r="AN5" s="7"/>
      <c r="AO5" s="7"/>
      <c r="AP5" s="7"/>
      <c r="AQ5" s="7"/>
      <c r="AR5" s="7"/>
      <c r="AS5" s="7"/>
      <c r="AT5" s="7"/>
      <c r="AU5" s="9"/>
    </row>
    <row r="6" spans="2:47" s="38" customFormat="1" ht="30" customHeight="1" x14ac:dyDescent="0.2">
      <c r="B6" s="77" t="s">
        <v>12</v>
      </c>
      <c r="C6" s="62" t="s">
        <v>53</v>
      </c>
      <c r="D6" s="35"/>
      <c r="E6" s="39">
        <v>6000</v>
      </c>
      <c r="F6" s="12">
        <f>E6*G6</f>
        <v>24000</v>
      </c>
      <c r="G6" s="95">
        <f t="shared" ref="G6:G19" si="0">SUM(H6:AU6)</f>
        <v>4</v>
      </c>
      <c r="H6" s="40"/>
      <c r="I6" s="40"/>
      <c r="J6" s="40"/>
      <c r="K6" s="40">
        <v>1</v>
      </c>
      <c r="L6" s="40"/>
      <c r="M6" s="40"/>
      <c r="N6" s="40"/>
      <c r="O6" s="40">
        <v>1</v>
      </c>
      <c r="P6" s="40"/>
      <c r="Q6" s="40"/>
      <c r="R6" s="40"/>
      <c r="S6" s="40"/>
      <c r="T6" s="40"/>
      <c r="U6" s="40">
        <v>1</v>
      </c>
      <c r="V6" s="40"/>
      <c r="W6" s="40">
        <v>1</v>
      </c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97"/>
      <c r="AL6" s="40"/>
      <c r="AM6" s="40"/>
      <c r="AN6" s="40"/>
      <c r="AO6" s="40"/>
      <c r="AP6" s="40"/>
      <c r="AQ6" s="40"/>
      <c r="AR6" s="40"/>
      <c r="AS6" s="40"/>
      <c r="AT6" s="40"/>
      <c r="AU6" s="41"/>
    </row>
    <row r="7" spans="2:47" s="38" customFormat="1" ht="30" customHeight="1" x14ac:dyDescent="0.2">
      <c r="B7" s="78" t="s">
        <v>13</v>
      </c>
      <c r="C7" s="63" t="s">
        <v>54</v>
      </c>
      <c r="D7" s="64"/>
      <c r="E7" s="42">
        <v>6500</v>
      </c>
      <c r="F7" s="18">
        <f t="shared" ref="F7:F19" si="1">E7*G7</f>
        <v>6500</v>
      </c>
      <c r="G7" s="95">
        <f t="shared" si="0"/>
        <v>1</v>
      </c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>
        <v>1</v>
      </c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98"/>
      <c r="AL7" s="43"/>
      <c r="AM7" s="43"/>
      <c r="AN7" s="43"/>
      <c r="AO7" s="43"/>
      <c r="AP7" s="43"/>
      <c r="AQ7" s="43"/>
      <c r="AR7" s="43"/>
      <c r="AS7" s="43"/>
      <c r="AT7" s="43"/>
      <c r="AU7" s="44"/>
    </row>
    <row r="8" spans="2:47" s="38" customFormat="1" ht="30" customHeight="1" x14ac:dyDescent="0.2">
      <c r="B8" s="78" t="s">
        <v>14</v>
      </c>
      <c r="C8" s="63" t="s">
        <v>64</v>
      </c>
      <c r="D8" s="64" t="s">
        <v>62</v>
      </c>
      <c r="E8" s="42">
        <v>7000</v>
      </c>
      <c r="F8" s="18">
        <f t="shared" si="1"/>
        <v>7000</v>
      </c>
      <c r="G8" s="95">
        <f t="shared" si="0"/>
        <v>1</v>
      </c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>
        <v>1</v>
      </c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98"/>
      <c r="AL8" s="43"/>
      <c r="AM8" s="43"/>
      <c r="AN8" s="43"/>
      <c r="AO8" s="43"/>
      <c r="AP8" s="43"/>
      <c r="AQ8" s="43"/>
      <c r="AR8" s="43"/>
      <c r="AS8" s="43"/>
      <c r="AT8" s="43"/>
      <c r="AU8" s="44"/>
    </row>
    <row r="9" spans="2:47" s="38" customFormat="1" ht="30" customHeight="1" x14ac:dyDescent="0.2">
      <c r="B9" s="78" t="s">
        <v>15</v>
      </c>
      <c r="C9" s="63" t="s">
        <v>57</v>
      </c>
      <c r="D9" s="64"/>
      <c r="E9" s="42">
        <v>5500</v>
      </c>
      <c r="F9" s="18">
        <f t="shared" si="1"/>
        <v>88000</v>
      </c>
      <c r="G9" s="95">
        <f t="shared" si="0"/>
        <v>16</v>
      </c>
      <c r="H9" s="43">
        <v>1</v>
      </c>
      <c r="I9" s="43">
        <v>1</v>
      </c>
      <c r="J9" s="43">
        <v>2</v>
      </c>
      <c r="K9" s="43"/>
      <c r="L9" s="43">
        <v>1</v>
      </c>
      <c r="M9" s="43"/>
      <c r="N9" s="43">
        <v>2</v>
      </c>
      <c r="O9" s="43">
        <v>2</v>
      </c>
      <c r="P9" s="43">
        <v>2</v>
      </c>
      <c r="Q9" s="43">
        <v>2</v>
      </c>
      <c r="R9" s="43"/>
      <c r="S9" s="43"/>
      <c r="T9" s="43"/>
      <c r="U9" s="43"/>
      <c r="V9" s="43">
        <v>2</v>
      </c>
      <c r="W9" s="43"/>
      <c r="X9" s="43">
        <v>1</v>
      </c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98"/>
      <c r="AL9" s="43"/>
      <c r="AM9" s="43"/>
      <c r="AN9" s="43"/>
      <c r="AO9" s="43"/>
      <c r="AP9" s="43"/>
      <c r="AQ9" s="43"/>
      <c r="AR9" s="43"/>
      <c r="AS9" s="43"/>
      <c r="AT9" s="43"/>
      <c r="AU9" s="44"/>
    </row>
    <row r="10" spans="2:47" s="38" customFormat="1" ht="30" customHeight="1" x14ac:dyDescent="0.2">
      <c r="B10" s="78" t="s">
        <v>16</v>
      </c>
      <c r="C10" s="63" t="s">
        <v>58</v>
      </c>
      <c r="D10" s="64"/>
      <c r="E10" s="42">
        <v>4000</v>
      </c>
      <c r="F10" s="18">
        <f t="shared" si="1"/>
        <v>4000</v>
      </c>
      <c r="G10" s="95">
        <f t="shared" si="0"/>
        <v>1</v>
      </c>
      <c r="H10" s="43"/>
      <c r="I10" s="43"/>
      <c r="J10" s="43"/>
      <c r="K10" s="43"/>
      <c r="L10" s="43"/>
      <c r="M10" s="43">
        <v>1</v>
      </c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98"/>
      <c r="AL10" s="43"/>
      <c r="AM10" s="43"/>
      <c r="AN10" s="43"/>
      <c r="AO10" s="43"/>
      <c r="AP10" s="43"/>
      <c r="AQ10" s="43"/>
      <c r="AR10" s="43"/>
      <c r="AS10" s="43"/>
      <c r="AT10" s="43"/>
      <c r="AU10" s="44"/>
    </row>
    <row r="11" spans="2:47" s="38" customFormat="1" ht="30" customHeight="1" x14ac:dyDescent="0.2">
      <c r="B11" s="78" t="s">
        <v>17</v>
      </c>
      <c r="C11" s="63" t="s">
        <v>59</v>
      </c>
      <c r="D11" s="64"/>
      <c r="E11" s="42">
        <v>4000</v>
      </c>
      <c r="F11" s="18">
        <f t="shared" si="1"/>
        <v>4000</v>
      </c>
      <c r="G11" s="95">
        <f t="shared" si="0"/>
        <v>1</v>
      </c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>
        <v>1</v>
      </c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98"/>
      <c r="AL11" s="43"/>
      <c r="AM11" s="43"/>
      <c r="AN11" s="43"/>
      <c r="AO11" s="43"/>
      <c r="AP11" s="43"/>
      <c r="AQ11" s="43"/>
      <c r="AR11" s="43"/>
      <c r="AS11" s="43"/>
      <c r="AT11" s="43"/>
      <c r="AU11" s="44"/>
    </row>
    <row r="12" spans="2:47" s="38" customFormat="1" ht="30" customHeight="1" x14ac:dyDescent="0.2">
      <c r="B12" s="78" t="s">
        <v>18</v>
      </c>
      <c r="C12" s="63" t="s">
        <v>60</v>
      </c>
      <c r="D12" s="64"/>
      <c r="E12" s="42">
        <v>4000</v>
      </c>
      <c r="F12" s="18">
        <f t="shared" si="1"/>
        <v>8000</v>
      </c>
      <c r="G12" s="95">
        <f t="shared" si="0"/>
        <v>2</v>
      </c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>
        <v>1</v>
      </c>
      <c r="T12" s="43"/>
      <c r="U12" s="43"/>
      <c r="V12" s="43"/>
      <c r="W12" s="43"/>
      <c r="X12" s="43"/>
      <c r="Y12" s="43">
        <v>1</v>
      </c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98"/>
      <c r="AL12" s="43"/>
      <c r="AM12" s="43"/>
      <c r="AN12" s="43"/>
      <c r="AO12" s="43"/>
      <c r="AP12" s="43"/>
      <c r="AQ12" s="43"/>
      <c r="AR12" s="43"/>
      <c r="AS12" s="43"/>
      <c r="AT12" s="43"/>
      <c r="AU12" s="44"/>
    </row>
    <row r="13" spans="2:47" s="38" customFormat="1" ht="30" customHeight="1" x14ac:dyDescent="0.2">
      <c r="B13" s="78" t="s">
        <v>19</v>
      </c>
      <c r="C13" s="63" t="s">
        <v>59</v>
      </c>
      <c r="D13" s="64"/>
      <c r="E13" s="42">
        <v>5000</v>
      </c>
      <c r="F13" s="18">
        <f t="shared" si="1"/>
        <v>10000</v>
      </c>
      <c r="G13" s="95">
        <f t="shared" si="0"/>
        <v>2</v>
      </c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>
        <v>1</v>
      </c>
      <c r="S13" s="45"/>
      <c r="T13" s="45"/>
      <c r="U13" s="45"/>
      <c r="V13" s="45"/>
      <c r="W13" s="45"/>
      <c r="X13" s="45">
        <v>1</v>
      </c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99"/>
      <c r="AL13" s="43"/>
      <c r="AM13" s="43"/>
      <c r="AN13" s="43"/>
      <c r="AO13" s="43"/>
      <c r="AP13" s="43"/>
      <c r="AQ13" s="43"/>
      <c r="AR13" s="43"/>
      <c r="AS13" s="43"/>
      <c r="AT13" s="43"/>
      <c r="AU13" s="44"/>
    </row>
    <row r="14" spans="2:47" s="38" customFormat="1" ht="30" customHeight="1" x14ac:dyDescent="0.2">
      <c r="B14" s="78" t="s">
        <v>20</v>
      </c>
      <c r="C14" s="63" t="s">
        <v>53</v>
      </c>
      <c r="D14" s="64"/>
      <c r="E14" s="42">
        <v>7000</v>
      </c>
      <c r="F14" s="18">
        <f t="shared" si="1"/>
        <v>7000</v>
      </c>
      <c r="G14" s="95">
        <f t="shared" si="0"/>
        <v>1</v>
      </c>
      <c r="H14" s="43"/>
      <c r="I14" s="43"/>
      <c r="J14" s="43"/>
      <c r="K14" s="43"/>
      <c r="L14" s="43"/>
      <c r="M14" s="43"/>
      <c r="N14" s="43"/>
      <c r="O14" s="43"/>
      <c r="P14" s="43"/>
      <c r="Q14" s="43">
        <v>1</v>
      </c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98"/>
      <c r="AL14" s="43"/>
      <c r="AM14" s="43"/>
      <c r="AN14" s="43"/>
      <c r="AO14" s="43"/>
      <c r="AP14" s="43"/>
      <c r="AQ14" s="43"/>
      <c r="AR14" s="43"/>
      <c r="AS14" s="43"/>
      <c r="AT14" s="43"/>
      <c r="AU14" s="44"/>
    </row>
    <row r="15" spans="2:47" s="38" customFormat="1" ht="30" customHeight="1" x14ac:dyDescent="0.2">
      <c r="B15" s="78" t="s">
        <v>21</v>
      </c>
      <c r="C15" s="63" t="s">
        <v>61</v>
      </c>
      <c r="D15" s="64"/>
      <c r="E15" s="42">
        <v>7000</v>
      </c>
      <c r="F15" s="18">
        <f t="shared" si="1"/>
        <v>0</v>
      </c>
      <c r="G15" s="95">
        <f t="shared" si="0"/>
        <v>0</v>
      </c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98"/>
      <c r="AL15" s="43"/>
      <c r="AM15" s="43"/>
      <c r="AN15" s="43"/>
      <c r="AO15" s="43"/>
      <c r="AP15" s="43"/>
      <c r="AQ15" s="43"/>
      <c r="AR15" s="43"/>
      <c r="AS15" s="43"/>
      <c r="AT15" s="43"/>
      <c r="AU15" s="44"/>
    </row>
    <row r="16" spans="2:47" s="38" customFormat="1" ht="30" customHeight="1" x14ac:dyDescent="0.2">
      <c r="B16" s="78" t="s">
        <v>22</v>
      </c>
      <c r="C16" s="63"/>
      <c r="D16" s="64"/>
      <c r="E16" s="42">
        <v>7000</v>
      </c>
      <c r="F16" s="18">
        <f t="shared" si="1"/>
        <v>0</v>
      </c>
      <c r="G16" s="95">
        <f t="shared" si="0"/>
        <v>0</v>
      </c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98"/>
      <c r="AL16" s="43"/>
      <c r="AM16" s="43"/>
      <c r="AN16" s="43"/>
      <c r="AO16" s="43"/>
      <c r="AP16" s="43"/>
      <c r="AQ16" s="43"/>
      <c r="AR16" s="43"/>
      <c r="AS16" s="43"/>
      <c r="AT16" s="43"/>
      <c r="AU16" s="44"/>
    </row>
    <row r="17" spans="2:47" s="38" customFormat="1" ht="30" customHeight="1" x14ac:dyDescent="0.2">
      <c r="B17" s="78" t="s">
        <v>23</v>
      </c>
      <c r="C17" s="63"/>
      <c r="D17" s="64"/>
      <c r="E17" s="42">
        <v>7000</v>
      </c>
      <c r="F17" s="18">
        <f t="shared" si="1"/>
        <v>0</v>
      </c>
      <c r="G17" s="95">
        <f t="shared" si="0"/>
        <v>0</v>
      </c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98"/>
      <c r="AL17" s="43"/>
      <c r="AM17" s="43"/>
      <c r="AN17" s="43"/>
      <c r="AO17" s="43"/>
      <c r="AP17" s="43"/>
      <c r="AQ17" s="43"/>
      <c r="AR17" s="43"/>
      <c r="AS17" s="43"/>
      <c r="AT17" s="43"/>
      <c r="AU17" s="44"/>
    </row>
    <row r="18" spans="2:47" s="38" customFormat="1" ht="30" customHeight="1" x14ac:dyDescent="0.2">
      <c r="B18" s="78" t="s">
        <v>24</v>
      </c>
      <c r="C18" s="63"/>
      <c r="D18" s="64"/>
      <c r="E18" s="42">
        <v>7000</v>
      </c>
      <c r="F18" s="18">
        <f t="shared" si="1"/>
        <v>0</v>
      </c>
      <c r="G18" s="95">
        <f t="shared" si="0"/>
        <v>0</v>
      </c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99"/>
      <c r="AL18" s="43"/>
      <c r="AM18" s="43"/>
      <c r="AN18" s="43"/>
      <c r="AO18" s="43"/>
      <c r="AP18" s="43"/>
      <c r="AQ18" s="43"/>
      <c r="AR18" s="43"/>
      <c r="AS18" s="43"/>
      <c r="AT18" s="43"/>
      <c r="AU18" s="44"/>
    </row>
    <row r="19" spans="2:47" s="38" customFormat="1" ht="30" customHeight="1" x14ac:dyDescent="0.2">
      <c r="B19" s="79" t="s">
        <v>25</v>
      </c>
      <c r="C19" s="65"/>
      <c r="D19" s="9"/>
      <c r="E19" s="61">
        <v>7000</v>
      </c>
      <c r="F19" s="50">
        <f t="shared" si="1"/>
        <v>0</v>
      </c>
      <c r="G19" s="95">
        <f t="shared" si="0"/>
        <v>0</v>
      </c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98"/>
      <c r="AL19" s="45"/>
      <c r="AM19" s="45"/>
      <c r="AN19" s="45"/>
      <c r="AO19" s="45"/>
      <c r="AP19" s="45"/>
      <c r="AQ19" s="45"/>
      <c r="AR19" s="45"/>
      <c r="AS19" s="45"/>
      <c r="AT19" s="45"/>
      <c r="AU19" s="60"/>
    </row>
    <row r="20" spans="2:47" s="38" customFormat="1" ht="20.100000000000001" customHeight="1" x14ac:dyDescent="0.2">
      <c r="B20" s="139" t="s">
        <v>8</v>
      </c>
      <c r="C20" s="140"/>
      <c r="D20" s="144"/>
      <c r="E20" s="146">
        <f>SUM(E6:E8,E10:E15)+E9*2</f>
        <v>61500</v>
      </c>
      <c r="F20" s="125">
        <f t="shared" ref="F20:X20" si="2">SUM(F6:F19)</f>
        <v>158500</v>
      </c>
      <c r="G20" s="125">
        <f t="shared" si="2"/>
        <v>29</v>
      </c>
      <c r="H20" s="23">
        <f t="shared" si="2"/>
        <v>1</v>
      </c>
      <c r="I20" s="23">
        <f t="shared" si="2"/>
        <v>1</v>
      </c>
      <c r="J20" s="23">
        <f t="shared" si="2"/>
        <v>2</v>
      </c>
      <c r="K20" s="23">
        <f t="shared" si="2"/>
        <v>1</v>
      </c>
      <c r="L20" s="23">
        <f t="shared" si="2"/>
        <v>1</v>
      </c>
      <c r="M20" s="23">
        <f t="shared" si="2"/>
        <v>1</v>
      </c>
      <c r="N20" s="23">
        <f t="shared" si="2"/>
        <v>2</v>
      </c>
      <c r="O20" s="23">
        <f t="shared" si="2"/>
        <v>3</v>
      </c>
      <c r="P20" s="23">
        <f t="shared" si="2"/>
        <v>2</v>
      </c>
      <c r="Q20" s="23">
        <f t="shared" si="2"/>
        <v>3</v>
      </c>
      <c r="R20" s="23">
        <f t="shared" si="2"/>
        <v>1</v>
      </c>
      <c r="S20" s="23">
        <f t="shared" si="2"/>
        <v>1</v>
      </c>
      <c r="T20" s="23">
        <f t="shared" si="2"/>
        <v>3</v>
      </c>
      <c r="U20" s="23">
        <f t="shared" si="2"/>
        <v>1</v>
      </c>
      <c r="V20" s="23">
        <f t="shared" si="2"/>
        <v>2</v>
      </c>
      <c r="W20" s="23">
        <f t="shared" si="2"/>
        <v>1</v>
      </c>
      <c r="X20" s="23">
        <f t="shared" si="2"/>
        <v>2</v>
      </c>
      <c r="Y20" s="23">
        <f t="shared" ref="Y20:AH20" si="3">SUM(Y6:Y19)</f>
        <v>1</v>
      </c>
      <c r="Z20" s="23">
        <f t="shared" si="3"/>
        <v>0</v>
      </c>
      <c r="AA20" s="23">
        <f t="shared" si="3"/>
        <v>0</v>
      </c>
      <c r="AB20" s="23">
        <f t="shared" si="3"/>
        <v>0</v>
      </c>
      <c r="AC20" s="23">
        <f t="shared" si="3"/>
        <v>0</v>
      </c>
      <c r="AD20" s="23">
        <f t="shared" si="3"/>
        <v>0</v>
      </c>
      <c r="AE20" s="23">
        <f t="shared" si="3"/>
        <v>0</v>
      </c>
      <c r="AF20" s="23">
        <f t="shared" si="3"/>
        <v>0</v>
      </c>
      <c r="AG20" s="23">
        <f t="shared" si="3"/>
        <v>0</v>
      </c>
      <c r="AH20" s="23">
        <f t="shared" si="3"/>
        <v>0</v>
      </c>
      <c r="AI20" s="23">
        <f>SUM(AI6:AI19)</f>
        <v>0</v>
      </c>
      <c r="AJ20" s="23">
        <f>SUM(AJ6:AJ19)</f>
        <v>0</v>
      </c>
      <c r="AK20" s="100">
        <f>SUM(AK6:AK19)</f>
        <v>0</v>
      </c>
      <c r="AL20" s="101">
        <f>SUM(AL6:AL19)</f>
        <v>0</v>
      </c>
      <c r="AM20" s="101">
        <f t="shared" ref="AM20:AU20" si="4">SUM(AM6:AM19)</f>
        <v>0</v>
      </c>
      <c r="AN20" s="101">
        <f t="shared" si="4"/>
        <v>0</v>
      </c>
      <c r="AO20" s="101">
        <f t="shared" si="4"/>
        <v>0</v>
      </c>
      <c r="AP20" s="101">
        <f t="shared" si="4"/>
        <v>0</v>
      </c>
      <c r="AQ20" s="101">
        <f t="shared" si="4"/>
        <v>0</v>
      </c>
      <c r="AR20" s="101">
        <f t="shared" si="4"/>
        <v>0</v>
      </c>
      <c r="AS20" s="101">
        <f t="shared" si="4"/>
        <v>0</v>
      </c>
      <c r="AT20" s="101">
        <f t="shared" si="4"/>
        <v>0</v>
      </c>
      <c r="AU20" s="102">
        <f t="shared" si="4"/>
        <v>0</v>
      </c>
    </row>
    <row r="21" spans="2:47" s="38" customFormat="1" ht="20.100000000000001" customHeight="1" x14ac:dyDescent="0.2">
      <c r="B21" s="141"/>
      <c r="C21" s="142"/>
      <c r="D21" s="145"/>
      <c r="E21" s="147"/>
      <c r="F21" s="126"/>
      <c r="G21" s="126"/>
      <c r="H21" s="46">
        <f>$E6*H6+$E7*H7+$E8*H8+$E9*H9+$E10*H10+$E11*H11+$E12*H12+$E14*H14+$E15*H15+$E16*H16+$E17*H17+$E18*H18+$E19*H19+$E13*H13</f>
        <v>5500</v>
      </c>
      <c r="I21" s="28">
        <f t="shared" ref="I21:AK21" si="5">$E6*I6+$E7*I7+$E8*I8+$E9*I9+$E10*I10+$E11*I11+$E12*I12+$E14*I14+$E15*I15+$E16*I16+$E17*I17+$E18*I18+$E19*I19+$E13*I13</f>
        <v>5500</v>
      </c>
      <c r="J21" s="28">
        <f t="shared" si="5"/>
        <v>11000</v>
      </c>
      <c r="K21" s="28">
        <f t="shared" si="5"/>
        <v>6000</v>
      </c>
      <c r="L21" s="28">
        <f t="shared" si="5"/>
        <v>5500</v>
      </c>
      <c r="M21" s="28">
        <f t="shared" si="5"/>
        <v>4000</v>
      </c>
      <c r="N21" s="28">
        <f t="shared" si="5"/>
        <v>11000</v>
      </c>
      <c r="O21" s="28">
        <f t="shared" si="5"/>
        <v>17000</v>
      </c>
      <c r="P21" s="28">
        <f t="shared" si="5"/>
        <v>11000</v>
      </c>
      <c r="Q21" s="28">
        <f t="shared" si="5"/>
        <v>18000</v>
      </c>
      <c r="R21" s="28">
        <f t="shared" si="5"/>
        <v>5000</v>
      </c>
      <c r="S21" s="28">
        <f t="shared" si="5"/>
        <v>4000</v>
      </c>
      <c r="T21" s="28">
        <f t="shared" si="5"/>
        <v>17500</v>
      </c>
      <c r="U21" s="28">
        <f t="shared" si="5"/>
        <v>6000</v>
      </c>
      <c r="V21" s="28">
        <f t="shared" si="5"/>
        <v>11000</v>
      </c>
      <c r="W21" s="28">
        <f t="shared" si="5"/>
        <v>6000</v>
      </c>
      <c r="X21" s="28">
        <f t="shared" si="5"/>
        <v>10500</v>
      </c>
      <c r="Y21" s="28">
        <f t="shared" si="5"/>
        <v>4000</v>
      </c>
      <c r="Z21" s="28">
        <f t="shared" si="5"/>
        <v>0</v>
      </c>
      <c r="AA21" s="28">
        <f t="shared" si="5"/>
        <v>0</v>
      </c>
      <c r="AB21" s="28">
        <f t="shared" si="5"/>
        <v>0</v>
      </c>
      <c r="AC21" s="28">
        <f t="shared" si="5"/>
        <v>0</v>
      </c>
      <c r="AD21" s="28">
        <f t="shared" si="5"/>
        <v>0</v>
      </c>
      <c r="AE21" s="28">
        <f t="shared" si="5"/>
        <v>0</v>
      </c>
      <c r="AF21" s="28">
        <f t="shared" si="5"/>
        <v>0</v>
      </c>
      <c r="AG21" s="28">
        <f t="shared" si="5"/>
        <v>0</v>
      </c>
      <c r="AH21" s="28">
        <f t="shared" si="5"/>
        <v>0</v>
      </c>
      <c r="AI21" s="28">
        <f t="shared" si="5"/>
        <v>0</v>
      </c>
      <c r="AJ21" s="28">
        <f t="shared" si="5"/>
        <v>0</v>
      </c>
      <c r="AK21" s="74">
        <f t="shared" si="5"/>
        <v>0</v>
      </c>
      <c r="AL21" s="28">
        <f>$E6*AL6+$E7*AL7+$E8*AL8+$E9*AL9+$E10*AL10+$E11*AL11+$E12*AL12+$E14*AL14+$E15*AL15+$E16*AL16+$E17*AL17+$E18*AL18+$E19*AL19+$E13*AL13</f>
        <v>0</v>
      </c>
      <c r="AM21" s="28">
        <f>$E6*AM6+$E7*AM7+$E8*AM8+$E9*AM9+$E10*AM10+$E11*AM11+$E12*AM12+$E14*AM14+$E15*AM15+$E16*AM16+$E17*AM17+$E18*AM18+$E19*AM19+$E13*AM13</f>
        <v>0</v>
      </c>
      <c r="AN21" s="28">
        <f>$E6*AN6+$E7*AN7+$E8*AN8+$E9*AN9+$E10*AN10+$E11*AN11+$E12*AN12+$E14*AN14+$E15*AN15+$E16*AN16+$E17*AN17+$E18*AN18+$E19*AN19+$E13*AN13</f>
        <v>0</v>
      </c>
      <c r="AO21" s="28">
        <f t="shared" ref="AO21:AU21" si="6">$E6*AO6+$E7*AO7+$E8*AO8+$E9*AO9+$E10*AO10+$E11*AO11+$E12*AO12+$E14*AO14+$E15*AO15+$E16*AO16+$E17*AO17+$E18*AO18+$E19*AO19+$E13*AO13</f>
        <v>0</v>
      </c>
      <c r="AP21" s="28">
        <f t="shared" si="6"/>
        <v>0</v>
      </c>
      <c r="AQ21" s="28">
        <f t="shared" si="6"/>
        <v>0</v>
      </c>
      <c r="AR21" s="28">
        <f t="shared" si="6"/>
        <v>0</v>
      </c>
      <c r="AS21" s="28">
        <f t="shared" si="6"/>
        <v>0</v>
      </c>
      <c r="AT21" s="28">
        <f t="shared" si="6"/>
        <v>0</v>
      </c>
      <c r="AU21" s="29">
        <f t="shared" si="6"/>
        <v>0</v>
      </c>
    </row>
  </sheetData>
  <sheetProtection password="CC67" sheet="1" objects="1" scenarios="1"/>
  <mergeCells count="10">
    <mergeCell ref="B20:D21"/>
    <mergeCell ref="E20:E21"/>
    <mergeCell ref="F20:F21"/>
    <mergeCell ref="G20:G21"/>
    <mergeCell ref="B2:G2"/>
    <mergeCell ref="B4:B5"/>
    <mergeCell ref="C4:C5"/>
    <mergeCell ref="D4:D5"/>
    <mergeCell ref="E4:E5"/>
    <mergeCell ref="F4:F5"/>
  </mergeCells>
  <phoneticPr fontId="2" type="noConversion"/>
  <pageMargins left="0.7" right="0.7" top="0.75" bottom="0.75" header="0.3" footer="0.3"/>
  <pageSetup paperSize="9" scale="31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1:AU21"/>
  <sheetViews>
    <sheetView showGridLines="0" zoomScale="85" zoomScaleNormal="85" workbookViewId="0">
      <pane xSplit="7" ySplit="5" topLeftCell="J6" activePane="bottomRight" state="frozen"/>
      <selection pane="topRight" activeCell="G1" sqref="G1"/>
      <selection pane="bottomLeft" activeCell="A6" sqref="A6"/>
      <selection pane="bottomRight" activeCell="D18" sqref="D18"/>
    </sheetView>
  </sheetViews>
  <sheetFormatPr defaultColWidth="9.125" defaultRowHeight="14.25" x14ac:dyDescent="0.2"/>
  <cols>
    <col min="1" max="1" width="0.375" style="1" customWidth="1"/>
    <col min="2" max="2" width="16.875" style="1" bestFit="1" customWidth="1"/>
    <col min="3" max="4" width="13.625" style="1" customWidth="1"/>
    <col min="5" max="5" width="10.625" style="1" hidden="1" customWidth="1"/>
    <col min="6" max="6" width="10.625" style="1" customWidth="1"/>
    <col min="7" max="7" width="10.625" style="3" customWidth="1"/>
    <col min="8" max="22" width="10.625" style="4" customWidth="1"/>
    <col min="23" max="47" width="10.625" style="1" customWidth="1"/>
    <col min="48" max="16384" width="9.125" style="1"/>
  </cols>
  <sheetData>
    <row r="1" spans="2:47" ht="3.75" customHeight="1" x14ac:dyDescent="0.2"/>
    <row r="2" spans="2:47" ht="20.25" x14ac:dyDescent="0.2">
      <c r="B2" s="149" t="s">
        <v>26</v>
      </c>
      <c r="C2" s="149"/>
      <c r="D2" s="149"/>
      <c r="E2" s="149"/>
      <c r="F2" s="149"/>
      <c r="G2" s="149"/>
    </row>
    <row r="3" spans="2:47" ht="4.9000000000000004" customHeight="1" x14ac:dyDescent="0.2"/>
    <row r="4" spans="2:47" s="38" customFormat="1" ht="20.100000000000001" customHeight="1" x14ac:dyDescent="0.2">
      <c r="B4" s="150" t="s">
        <v>3</v>
      </c>
      <c r="C4" s="123" t="s">
        <v>45</v>
      </c>
      <c r="D4" s="153" t="s">
        <v>46</v>
      </c>
      <c r="E4" s="135" t="s">
        <v>4</v>
      </c>
      <c r="F4" s="129" t="s">
        <v>5</v>
      </c>
      <c r="G4" s="32" t="s">
        <v>0</v>
      </c>
      <c r="H4" s="33">
        <v>1</v>
      </c>
      <c r="I4" s="34">
        <v>2</v>
      </c>
      <c r="J4" s="34">
        <v>3</v>
      </c>
      <c r="K4" s="34">
        <v>4</v>
      </c>
      <c r="L4" s="34">
        <v>5</v>
      </c>
      <c r="M4" s="34">
        <v>6</v>
      </c>
      <c r="N4" s="34">
        <v>7</v>
      </c>
      <c r="O4" s="34">
        <v>8</v>
      </c>
      <c r="P4" s="34">
        <v>9</v>
      </c>
      <c r="Q4" s="34">
        <v>10</v>
      </c>
      <c r="R4" s="34">
        <v>11</v>
      </c>
      <c r="S4" s="34">
        <v>12</v>
      </c>
      <c r="T4" s="34">
        <v>13</v>
      </c>
      <c r="U4" s="34">
        <v>14</v>
      </c>
      <c r="V4" s="34">
        <v>15</v>
      </c>
      <c r="W4" s="34">
        <v>16</v>
      </c>
      <c r="X4" s="34">
        <v>17</v>
      </c>
      <c r="Y4" s="33">
        <v>18</v>
      </c>
      <c r="Z4" s="34">
        <v>19</v>
      </c>
      <c r="AA4" s="34">
        <v>20</v>
      </c>
      <c r="AB4" s="34">
        <v>21</v>
      </c>
      <c r="AC4" s="34">
        <v>22</v>
      </c>
      <c r="AD4" s="34">
        <v>23</v>
      </c>
      <c r="AE4" s="34">
        <v>24</v>
      </c>
      <c r="AF4" s="34">
        <v>25</v>
      </c>
      <c r="AG4" s="34">
        <v>26</v>
      </c>
      <c r="AH4" s="34">
        <v>27</v>
      </c>
      <c r="AI4" s="34">
        <v>28</v>
      </c>
      <c r="AJ4" s="34">
        <v>29</v>
      </c>
      <c r="AK4" s="96">
        <v>30</v>
      </c>
      <c r="AL4" s="34">
        <v>31</v>
      </c>
      <c r="AM4" s="34">
        <v>32</v>
      </c>
      <c r="AN4" s="34">
        <v>33</v>
      </c>
      <c r="AO4" s="34">
        <v>34</v>
      </c>
      <c r="AP4" s="34">
        <v>35</v>
      </c>
      <c r="AQ4" s="34">
        <v>36</v>
      </c>
      <c r="AR4" s="34">
        <v>37</v>
      </c>
      <c r="AS4" s="34">
        <v>38</v>
      </c>
      <c r="AT4" s="34">
        <v>39</v>
      </c>
      <c r="AU4" s="35">
        <v>40</v>
      </c>
    </row>
    <row r="5" spans="2:47" s="38" customFormat="1" ht="20.100000000000001" customHeight="1" x14ac:dyDescent="0.2">
      <c r="B5" s="151"/>
      <c r="C5" s="152"/>
      <c r="D5" s="154"/>
      <c r="E5" s="136"/>
      <c r="F5" s="130"/>
      <c r="G5" s="36" t="s">
        <v>1</v>
      </c>
      <c r="H5" s="37">
        <v>1401</v>
      </c>
      <c r="I5" s="37">
        <v>827</v>
      </c>
      <c r="J5" s="37">
        <v>627</v>
      </c>
      <c r="K5" s="37">
        <v>1701</v>
      </c>
      <c r="L5" s="37">
        <v>1429</v>
      </c>
      <c r="M5" s="37">
        <v>824</v>
      </c>
      <c r="N5" s="37">
        <v>710</v>
      </c>
      <c r="O5" s="37">
        <v>1806</v>
      </c>
      <c r="P5" s="37">
        <v>1731</v>
      </c>
      <c r="Q5" s="37">
        <v>611</v>
      </c>
      <c r="R5" s="37">
        <v>1102</v>
      </c>
      <c r="S5" s="37">
        <v>714</v>
      </c>
      <c r="T5" s="37">
        <v>1622</v>
      </c>
      <c r="U5" s="37">
        <v>1228</v>
      </c>
      <c r="V5" s="37">
        <v>717</v>
      </c>
      <c r="W5" s="37">
        <v>1014</v>
      </c>
      <c r="X5" s="37">
        <v>1631</v>
      </c>
      <c r="Y5" s="37">
        <v>1723</v>
      </c>
      <c r="Z5" s="37">
        <v>1415</v>
      </c>
      <c r="AA5" s="37">
        <v>1220</v>
      </c>
      <c r="AB5" s="37">
        <v>1726</v>
      </c>
      <c r="AC5" s="37"/>
      <c r="AD5" s="37"/>
      <c r="AE5" s="37"/>
      <c r="AF5" s="37"/>
      <c r="AG5" s="37"/>
      <c r="AH5" s="37"/>
      <c r="AI5" s="37"/>
      <c r="AJ5" s="37"/>
      <c r="AK5" s="94"/>
      <c r="AL5" s="7"/>
      <c r="AM5" s="7"/>
      <c r="AN5" s="7"/>
      <c r="AO5" s="7"/>
      <c r="AP5" s="7"/>
      <c r="AQ5" s="7"/>
      <c r="AR5" s="7"/>
      <c r="AS5" s="7"/>
      <c r="AT5" s="7"/>
      <c r="AU5" s="9"/>
    </row>
    <row r="6" spans="2:47" s="38" customFormat="1" ht="30" customHeight="1" x14ac:dyDescent="0.2">
      <c r="B6" s="77" t="s">
        <v>12</v>
      </c>
      <c r="C6" s="62" t="s">
        <v>53</v>
      </c>
      <c r="D6" s="35"/>
      <c r="E6" s="39">
        <v>6000</v>
      </c>
      <c r="F6" s="12">
        <f>E6*G6</f>
        <v>18000</v>
      </c>
      <c r="G6" s="95">
        <f t="shared" ref="G6:G19" si="0">SUM(H6:AU6)</f>
        <v>3</v>
      </c>
      <c r="H6" s="40"/>
      <c r="I6" s="40"/>
      <c r="J6" s="40"/>
      <c r="K6" s="40"/>
      <c r="L6" s="40">
        <v>1</v>
      </c>
      <c r="M6" s="40"/>
      <c r="N6" s="40"/>
      <c r="O6" s="40"/>
      <c r="P6" s="40"/>
      <c r="Q6" s="40"/>
      <c r="R6" s="40"/>
      <c r="S6" s="40">
        <v>1</v>
      </c>
      <c r="T6" s="40"/>
      <c r="U6" s="40"/>
      <c r="V6" s="40"/>
      <c r="W6" s="40"/>
      <c r="X6" s="40"/>
      <c r="Y6" s="40"/>
      <c r="Z6" s="40"/>
      <c r="AA6" s="40"/>
      <c r="AB6" s="40">
        <v>1</v>
      </c>
      <c r="AC6" s="40"/>
      <c r="AD6" s="40"/>
      <c r="AE6" s="40"/>
      <c r="AF6" s="40"/>
      <c r="AG6" s="40"/>
      <c r="AH6" s="40"/>
      <c r="AI6" s="40"/>
      <c r="AJ6" s="40"/>
      <c r="AK6" s="97"/>
      <c r="AL6" s="40"/>
      <c r="AM6" s="40"/>
      <c r="AN6" s="40"/>
      <c r="AO6" s="40"/>
      <c r="AP6" s="40"/>
      <c r="AQ6" s="40"/>
      <c r="AR6" s="40"/>
      <c r="AS6" s="40"/>
      <c r="AT6" s="40"/>
      <c r="AU6" s="41"/>
    </row>
    <row r="7" spans="2:47" s="38" customFormat="1" ht="30" customHeight="1" x14ac:dyDescent="0.2">
      <c r="B7" s="78" t="s">
        <v>13</v>
      </c>
      <c r="C7" s="63" t="s">
        <v>54</v>
      </c>
      <c r="D7" s="64"/>
      <c r="E7" s="42">
        <v>6500</v>
      </c>
      <c r="F7" s="18">
        <f t="shared" ref="F7:F19" si="1">E7*G7</f>
        <v>19500</v>
      </c>
      <c r="G7" s="95">
        <f t="shared" si="0"/>
        <v>3</v>
      </c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>
        <v>1</v>
      </c>
      <c r="T7" s="43"/>
      <c r="U7" s="43"/>
      <c r="V7" s="43"/>
      <c r="W7" s="43"/>
      <c r="X7" s="43"/>
      <c r="Y7" s="43"/>
      <c r="Z7" s="43"/>
      <c r="AA7" s="43">
        <v>1</v>
      </c>
      <c r="AB7" s="43">
        <v>1</v>
      </c>
      <c r="AC7" s="43"/>
      <c r="AD7" s="43"/>
      <c r="AE7" s="43"/>
      <c r="AF7" s="43"/>
      <c r="AG7" s="43"/>
      <c r="AH7" s="43"/>
      <c r="AI7" s="43"/>
      <c r="AJ7" s="43"/>
      <c r="AK7" s="98"/>
      <c r="AL7" s="43"/>
      <c r="AM7" s="43"/>
      <c r="AN7" s="43"/>
      <c r="AO7" s="43"/>
      <c r="AP7" s="43"/>
      <c r="AQ7" s="43"/>
      <c r="AR7" s="43"/>
      <c r="AS7" s="43"/>
      <c r="AT7" s="43"/>
      <c r="AU7" s="44"/>
    </row>
    <row r="8" spans="2:47" s="38" customFormat="1" ht="30" customHeight="1" x14ac:dyDescent="0.2">
      <c r="B8" s="78" t="s">
        <v>14</v>
      </c>
      <c r="C8" s="63" t="s">
        <v>65</v>
      </c>
      <c r="D8" s="64"/>
      <c r="E8" s="42">
        <v>7000</v>
      </c>
      <c r="F8" s="18">
        <f t="shared" si="1"/>
        <v>7000</v>
      </c>
      <c r="G8" s="95">
        <f t="shared" si="0"/>
        <v>1</v>
      </c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>
        <v>1</v>
      </c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98"/>
      <c r="AL8" s="43"/>
      <c r="AM8" s="43"/>
      <c r="AN8" s="43"/>
      <c r="AO8" s="43"/>
      <c r="AP8" s="43"/>
      <c r="AQ8" s="43"/>
      <c r="AR8" s="43"/>
      <c r="AS8" s="43"/>
      <c r="AT8" s="43"/>
      <c r="AU8" s="44"/>
    </row>
    <row r="9" spans="2:47" s="38" customFormat="1" ht="30" customHeight="1" x14ac:dyDescent="0.2">
      <c r="B9" s="78" t="s">
        <v>15</v>
      </c>
      <c r="C9" s="63" t="s">
        <v>57</v>
      </c>
      <c r="D9" s="64"/>
      <c r="E9" s="42">
        <v>5500</v>
      </c>
      <c r="F9" s="18">
        <f t="shared" si="1"/>
        <v>115500</v>
      </c>
      <c r="G9" s="95">
        <f t="shared" si="0"/>
        <v>21</v>
      </c>
      <c r="H9" s="43">
        <v>2</v>
      </c>
      <c r="I9" s="43"/>
      <c r="J9" s="43">
        <v>1</v>
      </c>
      <c r="K9" s="43">
        <v>1</v>
      </c>
      <c r="L9" s="43">
        <v>1</v>
      </c>
      <c r="M9" s="43">
        <v>2</v>
      </c>
      <c r="N9" s="43"/>
      <c r="O9" s="43">
        <v>2</v>
      </c>
      <c r="P9" s="43">
        <v>1</v>
      </c>
      <c r="Q9" s="43"/>
      <c r="R9" s="43">
        <v>2</v>
      </c>
      <c r="S9" s="43">
        <v>2</v>
      </c>
      <c r="T9" s="43">
        <v>1</v>
      </c>
      <c r="U9" s="43">
        <v>1</v>
      </c>
      <c r="V9" s="43">
        <v>2</v>
      </c>
      <c r="W9" s="43">
        <v>2</v>
      </c>
      <c r="X9" s="43">
        <v>1</v>
      </c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98"/>
      <c r="AL9" s="43"/>
      <c r="AM9" s="43"/>
      <c r="AN9" s="43"/>
      <c r="AO9" s="43"/>
      <c r="AP9" s="43"/>
      <c r="AQ9" s="43"/>
      <c r="AR9" s="43"/>
      <c r="AS9" s="43"/>
      <c r="AT9" s="43"/>
      <c r="AU9" s="44"/>
    </row>
    <row r="10" spans="2:47" s="38" customFormat="1" ht="30" customHeight="1" x14ac:dyDescent="0.2">
      <c r="B10" s="78" t="s">
        <v>16</v>
      </c>
      <c r="C10" s="63" t="s">
        <v>58</v>
      </c>
      <c r="D10" s="64"/>
      <c r="E10" s="42">
        <v>4000</v>
      </c>
      <c r="F10" s="18">
        <f t="shared" si="1"/>
        <v>12000</v>
      </c>
      <c r="G10" s="95">
        <f t="shared" si="0"/>
        <v>3</v>
      </c>
      <c r="H10" s="43"/>
      <c r="I10" s="43"/>
      <c r="J10" s="43"/>
      <c r="K10" s="43"/>
      <c r="L10" s="43"/>
      <c r="M10" s="43"/>
      <c r="N10" s="43"/>
      <c r="O10" s="43">
        <v>1</v>
      </c>
      <c r="P10" s="43"/>
      <c r="Q10" s="43"/>
      <c r="R10" s="43"/>
      <c r="S10" s="43">
        <v>1</v>
      </c>
      <c r="T10" s="43"/>
      <c r="U10" s="43"/>
      <c r="V10" s="43">
        <v>1</v>
      </c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98"/>
      <c r="AL10" s="43"/>
      <c r="AM10" s="43"/>
      <c r="AN10" s="43"/>
      <c r="AO10" s="43"/>
      <c r="AP10" s="43"/>
      <c r="AQ10" s="43"/>
      <c r="AR10" s="43"/>
      <c r="AS10" s="43"/>
      <c r="AT10" s="43"/>
      <c r="AU10" s="44"/>
    </row>
    <row r="11" spans="2:47" s="38" customFormat="1" ht="30" customHeight="1" x14ac:dyDescent="0.2">
      <c r="B11" s="78" t="s">
        <v>17</v>
      </c>
      <c r="C11" s="63" t="s">
        <v>59</v>
      </c>
      <c r="D11" s="64"/>
      <c r="E11" s="42">
        <v>4000</v>
      </c>
      <c r="F11" s="18">
        <f t="shared" si="1"/>
        <v>16000</v>
      </c>
      <c r="G11" s="95">
        <f t="shared" si="0"/>
        <v>4</v>
      </c>
      <c r="H11" s="43"/>
      <c r="I11" s="43"/>
      <c r="J11" s="43"/>
      <c r="K11" s="43"/>
      <c r="L11" s="43">
        <v>1</v>
      </c>
      <c r="M11" s="43"/>
      <c r="N11" s="43">
        <v>1</v>
      </c>
      <c r="O11" s="43"/>
      <c r="P11" s="43"/>
      <c r="Q11" s="43">
        <v>1</v>
      </c>
      <c r="R11" s="43"/>
      <c r="S11" s="43"/>
      <c r="T11" s="43"/>
      <c r="U11" s="43"/>
      <c r="V11" s="43"/>
      <c r="W11" s="43"/>
      <c r="X11" s="43"/>
      <c r="Y11" s="43">
        <v>1</v>
      </c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98"/>
      <c r="AL11" s="43"/>
      <c r="AM11" s="43"/>
      <c r="AN11" s="43"/>
      <c r="AO11" s="43"/>
      <c r="AP11" s="43"/>
      <c r="AQ11" s="43"/>
      <c r="AR11" s="43"/>
      <c r="AS11" s="43"/>
      <c r="AT11" s="43"/>
      <c r="AU11" s="44"/>
    </row>
    <row r="12" spans="2:47" s="38" customFormat="1" ht="30" customHeight="1" x14ac:dyDescent="0.2">
      <c r="B12" s="78" t="s">
        <v>18</v>
      </c>
      <c r="C12" s="63" t="s">
        <v>60</v>
      </c>
      <c r="D12" s="64"/>
      <c r="E12" s="42">
        <v>4000</v>
      </c>
      <c r="F12" s="18">
        <f t="shared" si="1"/>
        <v>8000</v>
      </c>
      <c r="G12" s="95">
        <f t="shared" si="0"/>
        <v>2</v>
      </c>
      <c r="H12" s="43"/>
      <c r="I12" s="43">
        <v>1</v>
      </c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>
        <v>1</v>
      </c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98"/>
      <c r="AL12" s="43"/>
      <c r="AM12" s="43"/>
      <c r="AN12" s="43"/>
      <c r="AO12" s="43"/>
      <c r="AP12" s="43"/>
      <c r="AQ12" s="43"/>
      <c r="AR12" s="43"/>
      <c r="AS12" s="43"/>
      <c r="AT12" s="43"/>
      <c r="AU12" s="44"/>
    </row>
    <row r="13" spans="2:47" s="38" customFormat="1" ht="30" customHeight="1" x14ac:dyDescent="0.2">
      <c r="B13" s="78" t="s">
        <v>19</v>
      </c>
      <c r="C13" s="63" t="s">
        <v>59</v>
      </c>
      <c r="D13" s="64"/>
      <c r="E13" s="42">
        <v>5000</v>
      </c>
      <c r="F13" s="18">
        <f t="shared" si="1"/>
        <v>0</v>
      </c>
      <c r="G13" s="95">
        <f t="shared" si="0"/>
        <v>0</v>
      </c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99"/>
      <c r="AL13" s="43"/>
      <c r="AM13" s="43"/>
      <c r="AN13" s="43"/>
      <c r="AO13" s="43"/>
      <c r="AP13" s="43"/>
      <c r="AQ13" s="43"/>
      <c r="AR13" s="43"/>
      <c r="AS13" s="43"/>
      <c r="AT13" s="43"/>
      <c r="AU13" s="44"/>
    </row>
    <row r="14" spans="2:47" s="38" customFormat="1" ht="30" customHeight="1" x14ac:dyDescent="0.2">
      <c r="B14" s="78" t="s">
        <v>20</v>
      </c>
      <c r="C14" s="63" t="s">
        <v>53</v>
      </c>
      <c r="D14" s="64"/>
      <c r="E14" s="42">
        <v>7000</v>
      </c>
      <c r="F14" s="18">
        <f t="shared" si="1"/>
        <v>7000</v>
      </c>
      <c r="G14" s="95">
        <f t="shared" si="0"/>
        <v>1</v>
      </c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>
        <v>1</v>
      </c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98"/>
      <c r="AL14" s="43"/>
      <c r="AM14" s="43"/>
      <c r="AN14" s="43"/>
      <c r="AO14" s="43"/>
      <c r="AP14" s="43"/>
      <c r="AQ14" s="43"/>
      <c r="AR14" s="43"/>
      <c r="AS14" s="43"/>
      <c r="AT14" s="43"/>
      <c r="AU14" s="44"/>
    </row>
    <row r="15" spans="2:47" s="38" customFormat="1" ht="30" customHeight="1" x14ac:dyDescent="0.2">
      <c r="B15" s="78" t="s">
        <v>21</v>
      </c>
      <c r="C15" s="63" t="s">
        <v>61</v>
      </c>
      <c r="D15" s="64" t="s">
        <v>66</v>
      </c>
      <c r="E15" s="42">
        <v>7000</v>
      </c>
      <c r="F15" s="18">
        <f t="shared" si="1"/>
        <v>14000</v>
      </c>
      <c r="G15" s="95">
        <f t="shared" si="0"/>
        <v>2</v>
      </c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>
        <v>1</v>
      </c>
      <c r="Y15" s="43"/>
      <c r="Z15" s="43">
        <v>1</v>
      </c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98"/>
      <c r="AL15" s="43"/>
      <c r="AM15" s="43"/>
      <c r="AN15" s="43"/>
      <c r="AO15" s="43"/>
      <c r="AP15" s="43"/>
      <c r="AQ15" s="43"/>
      <c r="AR15" s="43"/>
      <c r="AS15" s="43"/>
      <c r="AT15" s="43"/>
      <c r="AU15" s="44"/>
    </row>
    <row r="16" spans="2:47" s="38" customFormat="1" ht="30" customHeight="1" x14ac:dyDescent="0.2">
      <c r="B16" s="78" t="s">
        <v>22</v>
      </c>
      <c r="C16" s="63"/>
      <c r="D16" s="64"/>
      <c r="E16" s="42">
        <v>7000</v>
      </c>
      <c r="F16" s="18">
        <f t="shared" si="1"/>
        <v>0</v>
      </c>
      <c r="G16" s="95">
        <f t="shared" si="0"/>
        <v>0</v>
      </c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98"/>
      <c r="AL16" s="43"/>
      <c r="AM16" s="43"/>
      <c r="AN16" s="43"/>
      <c r="AO16" s="43"/>
      <c r="AP16" s="43"/>
      <c r="AQ16" s="43"/>
      <c r="AR16" s="43"/>
      <c r="AS16" s="43"/>
      <c r="AT16" s="43"/>
      <c r="AU16" s="44"/>
    </row>
    <row r="17" spans="2:47" s="38" customFormat="1" ht="30" customHeight="1" x14ac:dyDescent="0.2">
      <c r="B17" s="78" t="s">
        <v>23</v>
      </c>
      <c r="C17" s="63"/>
      <c r="D17" s="64"/>
      <c r="E17" s="42">
        <v>7000</v>
      </c>
      <c r="F17" s="18">
        <f t="shared" si="1"/>
        <v>0</v>
      </c>
      <c r="G17" s="95">
        <f t="shared" si="0"/>
        <v>0</v>
      </c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98"/>
      <c r="AL17" s="43"/>
      <c r="AM17" s="43"/>
      <c r="AN17" s="43"/>
      <c r="AO17" s="43"/>
      <c r="AP17" s="43"/>
      <c r="AQ17" s="43"/>
      <c r="AR17" s="43"/>
      <c r="AS17" s="43"/>
      <c r="AT17" s="43"/>
      <c r="AU17" s="44"/>
    </row>
    <row r="18" spans="2:47" s="38" customFormat="1" ht="30" customHeight="1" x14ac:dyDescent="0.2">
      <c r="B18" s="78" t="s">
        <v>24</v>
      </c>
      <c r="C18" s="63"/>
      <c r="D18" s="64"/>
      <c r="E18" s="42">
        <v>7000</v>
      </c>
      <c r="F18" s="18">
        <f t="shared" si="1"/>
        <v>0</v>
      </c>
      <c r="G18" s="95">
        <f t="shared" si="0"/>
        <v>0</v>
      </c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99"/>
      <c r="AL18" s="43"/>
      <c r="AM18" s="43"/>
      <c r="AN18" s="43"/>
      <c r="AO18" s="43"/>
      <c r="AP18" s="43"/>
      <c r="AQ18" s="43"/>
      <c r="AR18" s="43"/>
      <c r="AS18" s="43"/>
      <c r="AT18" s="43"/>
      <c r="AU18" s="44"/>
    </row>
    <row r="19" spans="2:47" s="38" customFormat="1" ht="30" customHeight="1" x14ac:dyDescent="0.2">
      <c r="B19" s="79" t="s">
        <v>25</v>
      </c>
      <c r="C19" s="65"/>
      <c r="D19" s="9"/>
      <c r="E19" s="61">
        <v>7000</v>
      </c>
      <c r="F19" s="50">
        <f t="shared" si="1"/>
        <v>0</v>
      </c>
      <c r="G19" s="95">
        <f t="shared" si="0"/>
        <v>0</v>
      </c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98"/>
      <c r="AL19" s="45"/>
      <c r="AM19" s="45"/>
      <c r="AN19" s="45"/>
      <c r="AO19" s="45"/>
      <c r="AP19" s="45"/>
      <c r="AQ19" s="45"/>
      <c r="AR19" s="45"/>
      <c r="AS19" s="45"/>
      <c r="AT19" s="45"/>
      <c r="AU19" s="60"/>
    </row>
    <row r="20" spans="2:47" s="38" customFormat="1" ht="20.100000000000001" customHeight="1" x14ac:dyDescent="0.2">
      <c r="B20" s="139" t="s">
        <v>8</v>
      </c>
      <c r="C20" s="140"/>
      <c r="D20" s="144"/>
      <c r="E20" s="146">
        <f>SUM(E6:E8,E10:E15)+E9*2</f>
        <v>61500</v>
      </c>
      <c r="F20" s="125">
        <f t="shared" ref="F20:X20" si="2">SUM(F6:F19)</f>
        <v>217000</v>
      </c>
      <c r="G20" s="125">
        <f t="shared" si="2"/>
        <v>40</v>
      </c>
      <c r="H20" s="23">
        <f t="shared" si="2"/>
        <v>2</v>
      </c>
      <c r="I20" s="23">
        <f t="shared" si="2"/>
        <v>1</v>
      </c>
      <c r="J20" s="23">
        <f t="shared" si="2"/>
        <v>1</v>
      </c>
      <c r="K20" s="23">
        <f t="shared" si="2"/>
        <v>1</v>
      </c>
      <c r="L20" s="23">
        <f t="shared" si="2"/>
        <v>3</v>
      </c>
      <c r="M20" s="23">
        <f t="shared" si="2"/>
        <v>2</v>
      </c>
      <c r="N20" s="23">
        <f t="shared" si="2"/>
        <v>1</v>
      </c>
      <c r="O20" s="23">
        <f t="shared" si="2"/>
        <v>3</v>
      </c>
      <c r="P20" s="23">
        <f t="shared" si="2"/>
        <v>1</v>
      </c>
      <c r="Q20" s="23">
        <f t="shared" si="2"/>
        <v>1</v>
      </c>
      <c r="R20" s="23">
        <f t="shared" si="2"/>
        <v>2</v>
      </c>
      <c r="S20" s="23">
        <f t="shared" si="2"/>
        <v>5</v>
      </c>
      <c r="T20" s="23">
        <f t="shared" si="2"/>
        <v>1</v>
      </c>
      <c r="U20" s="23">
        <f t="shared" si="2"/>
        <v>1</v>
      </c>
      <c r="V20" s="23">
        <f t="shared" si="2"/>
        <v>3</v>
      </c>
      <c r="W20" s="23">
        <f t="shared" si="2"/>
        <v>2</v>
      </c>
      <c r="X20" s="23">
        <f t="shared" si="2"/>
        <v>5</v>
      </c>
      <c r="Y20" s="23">
        <f t="shared" ref="Y20:AH20" si="3">SUM(Y6:Y19)</f>
        <v>1</v>
      </c>
      <c r="Z20" s="23">
        <f t="shared" si="3"/>
        <v>1</v>
      </c>
      <c r="AA20" s="23">
        <f t="shared" si="3"/>
        <v>1</v>
      </c>
      <c r="AB20" s="23">
        <f t="shared" si="3"/>
        <v>2</v>
      </c>
      <c r="AC20" s="23">
        <f t="shared" si="3"/>
        <v>0</v>
      </c>
      <c r="AD20" s="23">
        <f t="shared" si="3"/>
        <v>0</v>
      </c>
      <c r="AE20" s="23">
        <f t="shared" si="3"/>
        <v>0</v>
      </c>
      <c r="AF20" s="23">
        <f t="shared" si="3"/>
        <v>0</v>
      </c>
      <c r="AG20" s="23">
        <f t="shared" si="3"/>
        <v>0</v>
      </c>
      <c r="AH20" s="23">
        <f t="shared" si="3"/>
        <v>0</v>
      </c>
      <c r="AI20" s="23">
        <f>SUM(AI6:AI19)</f>
        <v>0</v>
      </c>
      <c r="AJ20" s="23">
        <f>SUM(AJ6:AJ19)</f>
        <v>0</v>
      </c>
      <c r="AK20" s="100">
        <f>SUM(AK6:AK19)</f>
        <v>0</v>
      </c>
      <c r="AL20" s="101">
        <f>SUM(AL6:AL19)</f>
        <v>0</v>
      </c>
      <c r="AM20" s="101">
        <f t="shared" ref="AM20:AU20" si="4">SUM(AM6:AM19)</f>
        <v>0</v>
      </c>
      <c r="AN20" s="101">
        <f t="shared" si="4"/>
        <v>0</v>
      </c>
      <c r="AO20" s="101">
        <f t="shared" si="4"/>
        <v>0</v>
      </c>
      <c r="AP20" s="101">
        <f t="shared" si="4"/>
        <v>0</v>
      </c>
      <c r="AQ20" s="101">
        <f t="shared" si="4"/>
        <v>0</v>
      </c>
      <c r="AR20" s="101">
        <f t="shared" si="4"/>
        <v>0</v>
      </c>
      <c r="AS20" s="101">
        <f t="shared" si="4"/>
        <v>0</v>
      </c>
      <c r="AT20" s="101">
        <f t="shared" si="4"/>
        <v>0</v>
      </c>
      <c r="AU20" s="102">
        <f t="shared" si="4"/>
        <v>0</v>
      </c>
    </row>
    <row r="21" spans="2:47" s="38" customFormat="1" ht="20.100000000000001" customHeight="1" x14ac:dyDescent="0.2">
      <c r="B21" s="141"/>
      <c r="C21" s="142"/>
      <c r="D21" s="145"/>
      <c r="E21" s="147"/>
      <c r="F21" s="126"/>
      <c r="G21" s="126"/>
      <c r="H21" s="46">
        <f>$E6*H6+$E7*H7+$E8*H8+$E9*H9+$E10*H10+$E11*H11+$E12*H12+$E14*H14+$E15*H15+$E16*H16+$E17*H17+$E18*H18+$E19*H19+$E13*H13</f>
        <v>11000</v>
      </c>
      <c r="I21" s="28">
        <f t="shared" ref="I21:AK21" si="5">$E6*I6+$E7*I7+$E8*I8+$E9*I9+$E10*I10+$E11*I11+$E12*I12+$E14*I14+$E15*I15+$E16*I16+$E17*I17+$E18*I18+$E19*I19+$E13*I13</f>
        <v>4000</v>
      </c>
      <c r="J21" s="28">
        <f t="shared" si="5"/>
        <v>5500</v>
      </c>
      <c r="K21" s="28">
        <f t="shared" si="5"/>
        <v>5500</v>
      </c>
      <c r="L21" s="28">
        <f t="shared" si="5"/>
        <v>15500</v>
      </c>
      <c r="M21" s="28">
        <f t="shared" si="5"/>
        <v>11000</v>
      </c>
      <c r="N21" s="28">
        <f t="shared" si="5"/>
        <v>4000</v>
      </c>
      <c r="O21" s="28">
        <f t="shared" si="5"/>
        <v>15000</v>
      </c>
      <c r="P21" s="28">
        <f t="shared" si="5"/>
        <v>5500</v>
      </c>
      <c r="Q21" s="28">
        <f t="shared" si="5"/>
        <v>4000</v>
      </c>
      <c r="R21" s="28">
        <f t="shared" si="5"/>
        <v>11000</v>
      </c>
      <c r="S21" s="28">
        <f t="shared" si="5"/>
        <v>27500</v>
      </c>
      <c r="T21" s="28">
        <f t="shared" si="5"/>
        <v>5500</v>
      </c>
      <c r="U21" s="28">
        <f t="shared" si="5"/>
        <v>5500</v>
      </c>
      <c r="V21" s="28">
        <f t="shared" si="5"/>
        <v>15000</v>
      </c>
      <c r="W21" s="28">
        <f t="shared" si="5"/>
        <v>11000</v>
      </c>
      <c r="X21" s="28">
        <f t="shared" si="5"/>
        <v>30500</v>
      </c>
      <c r="Y21" s="28">
        <f t="shared" si="5"/>
        <v>4000</v>
      </c>
      <c r="Z21" s="28">
        <f t="shared" si="5"/>
        <v>7000</v>
      </c>
      <c r="AA21" s="28">
        <f t="shared" si="5"/>
        <v>6500</v>
      </c>
      <c r="AB21" s="28">
        <f t="shared" si="5"/>
        <v>12500</v>
      </c>
      <c r="AC21" s="28">
        <f t="shared" si="5"/>
        <v>0</v>
      </c>
      <c r="AD21" s="28">
        <f t="shared" si="5"/>
        <v>0</v>
      </c>
      <c r="AE21" s="28">
        <f t="shared" si="5"/>
        <v>0</v>
      </c>
      <c r="AF21" s="28">
        <f t="shared" si="5"/>
        <v>0</v>
      </c>
      <c r="AG21" s="28">
        <f t="shared" si="5"/>
        <v>0</v>
      </c>
      <c r="AH21" s="28">
        <f t="shared" si="5"/>
        <v>0</v>
      </c>
      <c r="AI21" s="28">
        <f t="shared" si="5"/>
        <v>0</v>
      </c>
      <c r="AJ21" s="28">
        <f t="shared" si="5"/>
        <v>0</v>
      </c>
      <c r="AK21" s="74">
        <f t="shared" si="5"/>
        <v>0</v>
      </c>
      <c r="AL21" s="28">
        <f>$E6*AL6+$E7*AL7+$E8*AL8+$E9*AL9+$E10*AL10+$E11*AL11+$E12*AL12+$E14*AL14+$E15*AL15+$E16*AL16+$E17*AL17+$E18*AL18+$E19*AL19+$E13*AL13</f>
        <v>0</v>
      </c>
      <c r="AM21" s="28">
        <f>$E6*AM6+$E7*AM7+$E8*AM8+$E9*AM9+$E10*AM10+$E11*AM11+$E12*AM12+$E14*AM14+$E15*AM15+$E16*AM16+$E17*AM17+$E18*AM18+$E19*AM19+$E13*AM13</f>
        <v>0</v>
      </c>
      <c r="AN21" s="28">
        <f>$E6*AN6+$E7*AN7+$E8*AN8+$E9*AN9+$E10*AN10+$E11*AN11+$E12*AN12+$E14*AN14+$E15*AN15+$E16*AN16+$E17*AN17+$E18*AN18+$E19*AN19+$E13*AN13</f>
        <v>0</v>
      </c>
      <c r="AO21" s="28">
        <f t="shared" ref="AO21:AU21" si="6">$E6*AO6+$E7*AO7+$E8*AO8+$E9*AO9+$E10*AO10+$E11*AO11+$E12*AO12+$E14*AO14+$E15*AO15+$E16*AO16+$E17*AO17+$E18*AO18+$E19*AO19+$E13*AO13</f>
        <v>0</v>
      </c>
      <c r="AP21" s="28">
        <f t="shared" si="6"/>
        <v>0</v>
      </c>
      <c r="AQ21" s="28">
        <f t="shared" si="6"/>
        <v>0</v>
      </c>
      <c r="AR21" s="28">
        <f t="shared" si="6"/>
        <v>0</v>
      </c>
      <c r="AS21" s="28">
        <f t="shared" si="6"/>
        <v>0</v>
      </c>
      <c r="AT21" s="28">
        <f t="shared" si="6"/>
        <v>0</v>
      </c>
      <c r="AU21" s="29">
        <f t="shared" si="6"/>
        <v>0</v>
      </c>
    </row>
  </sheetData>
  <sheetProtection password="CC67" sheet="1" objects="1" scenarios="1"/>
  <mergeCells count="10">
    <mergeCell ref="B20:D21"/>
    <mergeCell ref="E20:E21"/>
    <mergeCell ref="F20:F21"/>
    <mergeCell ref="G20:G21"/>
    <mergeCell ref="B2:G2"/>
    <mergeCell ref="B4:B5"/>
    <mergeCell ref="C4:C5"/>
    <mergeCell ref="D4:D5"/>
    <mergeCell ref="E4:E5"/>
    <mergeCell ref="F4:F5"/>
  </mergeCells>
  <phoneticPr fontId="2" type="noConversion"/>
  <pageMargins left="0.7" right="0.7" top="0.75" bottom="0.75" header="0.3" footer="0.3"/>
  <pageSetup paperSize="9" scale="31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B1:AU21"/>
  <sheetViews>
    <sheetView showGridLines="0" zoomScale="85" zoomScaleNormal="85" workbookViewId="0">
      <pane xSplit="7" ySplit="5" topLeftCell="P6" activePane="bottomRight" state="frozen"/>
      <selection pane="topRight" activeCell="G1" sqref="G1"/>
      <selection pane="bottomLeft" activeCell="A6" sqref="A6"/>
      <selection pane="bottomRight" activeCell="C6" sqref="C6:C15"/>
    </sheetView>
  </sheetViews>
  <sheetFormatPr defaultColWidth="9.125" defaultRowHeight="14.25" x14ac:dyDescent="0.2"/>
  <cols>
    <col min="1" max="1" width="0.375" style="1" customWidth="1"/>
    <col min="2" max="2" width="16.875" style="1" bestFit="1" customWidth="1"/>
    <col min="3" max="4" width="13.625" style="1" customWidth="1"/>
    <col min="5" max="5" width="10.625" style="1" hidden="1" customWidth="1"/>
    <col min="6" max="6" width="10.625" style="1" customWidth="1"/>
    <col min="7" max="7" width="10.625" style="3" customWidth="1"/>
    <col min="8" max="22" width="10.625" style="4" customWidth="1"/>
    <col min="23" max="47" width="10.625" style="1" customWidth="1"/>
    <col min="48" max="16384" width="9.125" style="1"/>
  </cols>
  <sheetData>
    <row r="1" spans="2:47" ht="3.75" customHeight="1" x14ac:dyDescent="0.2"/>
    <row r="2" spans="2:47" ht="20.25" x14ac:dyDescent="0.2">
      <c r="B2" s="149" t="s">
        <v>26</v>
      </c>
      <c r="C2" s="149"/>
      <c r="D2" s="149"/>
      <c r="E2" s="149"/>
      <c r="F2" s="149"/>
      <c r="G2" s="149"/>
    </row>
    <row r="3" spans="2:47" ht="4.9000000000000004" customHeight="1" x14ac:dyDescent="0.2"/>
    <row r="4" spans="2:47" s="38" customFormat="1" ht="20.100000000000001" customHeight="1" x14ac:dyDescent="0.2">
      <c r="B4" s="150" t="s">
        <v>3</v>
      </c>
      <c r="C4" s="123" t="s">
        <v>45</v>
      </c>
      <c r="D4" s="153" t="s">
        <v>46</v>
      </c>
      <c r="E4" s="135" t="s">
        <v>4</v>
      </c>
      <c r="F4" s="129" t="s">
        <v>5</v>
      </c>
      <c r="G4" s="32" t="s">
        <v>0</v>
      </c>
      <c r="H4" s="33">
        <v>1</v>
      </c>
      <c r="I4" s="34">
        <v>2</v>
      </c>
      <c r="J4" s="34">
        <v>3</v>
      </c>
      <c r="K4" s="34">
        <v>4</v>
      </c>
      <c r="L4" s="34">
        <v>5</v>
      </c>
      <c r="M4" s="34">
        <v>6</v>
      </c>
      <c r="N4" s="34">
        <v>7</v>
      </c>
      <c r="O4" s="34">
        <v>8</v>
      </c>
      <c r="P4" s="34">
        <v>9</v>
      </c>
      <c r="Q4" s="34">
        <v>10</v>
      </c>
      <c r="R4" s="34">
        <v>11</v>
      </c>
      <c r="S4" s="34">
        <v>12</v>
      </c>
      <c r="T4" s="34">
        <v>13</v>
      </c>
      <c r="U4" s="34">
        <v>14</v>
      </c>
      <c r="V4" s="34">
        <v>15</v>
      </c>
      <c r="W4" s="34">
        <v>16</v>
      </c>
      <c r="X4" s="34">
        <v>17</v>
      </c>
      <c r="Y4" s="33">
        <v>18</v>
      </c>
      <c r="Z4" s="34">
        <v>19</v>
      </c>
      <c r="AA4" s="34">
        <v>20</v>
      </c>
      <c r="AB4" s="34">
        <v>21</v>
      </c>
      <c r="AC4" s="34">
        <v>22</v>
      </c>
      <c r="AD4" s="34">
        <v>23</v>
      </c>
      <c r="AE4" s="34">
        <v>24</v>
      </c>
      <c r="AF4" s="34">
        <v>25</v>
      </c>
      <c r="AG4" s="34">
        <v>26</v>
      </c>
      <c r="AH4" s="34">
        <v>27</v>
      </c>
      <c r="AI4" s="34">
        <v>28</v>
      </c>
      <c r="AJ4" s="34">
        <v>29</v>
      </c>
      <c r="AK4" s="96">
        <v>30</v>
      </c>
      <c r="AL4" s="34">
        <v>31</v>
      </c>
      <c r="AM4" s="34">
        <v>32</v>
      </c>
      <c r="AN4" s="34">
        <v>33</v>
      </c>
      <c r="AO4" s="34">
        <v>34</v>
      </c>
      <c r="AP4" s="34">
        <v>35</v>
      </c>
      <c r="AQ4" s="34">
        <v>36</v>
      </c>
      <c r="AR4" s="34">
        <v>37</v>
      </c>
      <c r="AS4" s="34">
        <v>38</v>
      </c>
      <c r="AT4" s="34">
        <v>39</v>
      </c>
      <c r="AU4" s="35">
        <v>40</v>
      </c>
    </row>
    <row r="5" spans="2:47" s="38" customFormat="1" ht="20.100000000000001" customHeight="1" x14ac:dyDescent="0.2">
      <c r="B5" s="151"/>
      <c r="C5" s="152"/>
      <c r="D5" s="154"/>
      <c r="E5" s="136"/>
      <c r="F5" s="130"/>
      <c r="G5" s="36" t="s">
        <v>1</v>
      </c>
      <c r="H5" s="37">
        <v>931</v>
      </c>
      <c r="I5" s="37">
        <v>1127</v>
      </c>
      <c r="J5" s="37">
        <v>1506</v>
      </c>
      <c r="K5" s="37">
        <v>1425</v>
      </c>
      <c r="L5" s="37">
        <v>1626</v>
      </c>
      <c r="M5" s="37">
        <v>1015</v>
      </c>
      <c r="N5" s="37">
        <v>824</v>
      </c>
      <c r="O5" s="37">
        <v>1206</v>
      </c>
      <c r="P5" s="37">
        <v>1415</v>
      </c>
      <c r="Q5" s="37">
        <v>1018</v>
      </c>
      <c r="R5" s="37">
        <v>1717</v>
      </c>
      <c r="S5" s="37">
        <v>1525</v>
      </c>
      <c r="T5" s="37">
        <v>1223</v>
      </c>
      <c r="U5" s="37">
        <v>1103</v>
      </c>
      <c r="V5" s="37">
        <v>611</v>
      </c>
      <c r="W5" s="37">
        <v>1029</v>
      </c>
      <c r="X5" s="37">
        <v>916</v>
      </c>
      <c r="Y5" s="37">
        <v>1605</v>
      </c>
      <c r="Z5" s="37">
        <v>1030</v>
      </c>
      <c r="AA5" s="37">
        <v>1406</v>
      </c>
      <c r="AB5" s="37">
        <v>717</v>
      </c>
      <c r="AC5" s="37">
        <v>1229</v>
      </c>
      <c r="AD5" s="37">
        <v>706</v>
      </c>
      <c r="AE5" s="37">
        <v>1121</v>
      </c>
      <c r="AF5" s="37">
        <v>1130</v>
      </c>
      <c r="AG5" s="37">
        <v>617</v>
      </c>
      <c r="AH5" s="37"/>
      <c r="AI5" s="37"/>
      <c r="AJ5" s="37"/>
      <c r="AK5" s="94"/>
      <c r="AL5" s="7"/>
      <c r="AM5" s="7"/>
      <c r="AN5" s="7"/>
      <c r="AO5" s="7"/>
      <c r="AP5" s="7"/>
      <c r="AQ5" s="7"/>
      <c r="AR5" s="7"/>
      <c r="AS5" s="7"/>
      <c r="AT5" s="7"/>
      <c r="AU5" s="9"/>
    </row>
    <row r="6" spans="2:47" s="38" customFormat="1" ht="30" customHeight="1" x14ac:dyDescent="0.2">
      <c r="B6" s="77" t="s">
        <v>12</v>
      </c>
      <c r="C6" s="62" t="s">
        <v>53</v>
      </c>
      <c r="D6" s="35"/>
      <c r="E6" s="39">
        <v>6000</v>
      </c>
      <c r="F6" s="12">
        <f>E6*G6</f>
        <v>12000</v>
      </c>
      <c r="G6" s="95">
        <f t="shared" ref="G6:G19" si="0">SUM(H6:AU6)</f>
        <v>2</v>
      </c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>
        <v>1</v>
      </c>
      <c r="AC6" s="40"/>
      <c r="AD6" s="40"/>
      <c r="AE6" s="40"/>
      <c r="AF6" s="40">
        <v>1</v>
      </c>
      <c r="AG6" s="40"/>
      <c r="AH6" s="40"/>
      <c r="AI6" s="40"/>
      <c r="AJ6" s="40"/>
      <c r="AK6" s="97"/>
      <c r="AL6" s="40"/>
      <c r="AM6" s="40"/>
      <c r="AN6" s="40"/>
      <c r="AO6" s="40"/>
      <c r="AP6" s="40"/>
      <c r="AQ6" s="40"/>
      <c r="AR6" s="40"/>
      <c r="AS6" s="40"/>
      <c r="AT6" s="40"/>
      <c r="AU6" s="41"/>
    </row>
    <row r="7" spans="2:47" s="38" customFormat="1" ht="30" customHeight="1" x14ac:dyDescent="0.2">
      <c r="B7" s="78" t="s">
        <v>13</v>
      </c>
      <c r="C7" s="63" t="s">
        <v>54</v>
      </c>
      <c r="D7" s="64"/>
      <c r="E7" s="42">
        <v>6500</v>
      </c>
      <c r="F7" s="18">
        <f t="shared" ref="F7:F19" si="1">E7*G7</f>
        <v>26000</v>
      </c>
      <c r="G7" s="95">
        <f t="shared" si="0"/>
        <v>4</v>
      </c>
      <c r="H7" s="43"/>
      <c r="I7" s="43"/>
      <c r="J7" s="43">
        <v>1</v>
      </c>
      <c r="K7" s="43"/>
      <c r="L7" s="43"/>
      <c r="M7" s="43">
        <v>1</v>
      </c>
      <c r="N7" s="43"/>
      <c r="O7" s="43"/>
      <c r="P7" s="43"/>
      <c r="Q7" s="43"/>
      <c r="R7" s="43"/>
      <c r="S7" s="43"/>
      <c r="T7" s="43"/>
      <c r="U7" s="43"/>
      <c r="V7" s="43"/>
      <c r="W7" s="43"/>
      <c r="X7" s="43">
        <v>1</v>
      </c>
      <c r="Y7" s="43"/>
      <c r="Z7" s="43"/>
      <c r="AA7" s="43"/>
      <c r="AB7" s="43"/>
      <c r="AC7" s="43"/>
      <c r="AD7" s="43">
        <v>1</v>
      </c>
      <c r="AE7" s="43"/>
      <c r="AF7" s="43"/>
      <c r="AG7" s="43"/>
      <c r="AH7" s="43"/>
      <c r="AI7" s="43"/>
      <c r="AJ7" s="43"/>
      <c r="AK7" s="98"/>
      <c r="AL7" s="43"/>
      <c r="AM7" s="43"/>
      <c r="AN7" s="43"/>
      <c r="AO7" s="43"/>
      <c r="AP7" s="43"/>
      <c r="AQ7" s="43"/>
      <c r="AR7" s="43"/>
      <c r="AS7" s="43"/>
      <c r="AT7" s="43"/>
      <c r="AU7" s="44"/>
    </row>
    <row r="8" spans="2:47" s="38" customFormat="1" ht="30" customHeight="1" x14ac:dyDescent="0.2">
      <c r="B8" s="78" t="s">
        <v>14</v>
      </c>
      <c r="C8" s="63" t="s">
        <v>65</v>
      </c>
      <c r="D8" s="64"/>
      <c r="E8" s="42">
        <v>7000</v>
      </c>
      <c r="F8" s="18">
        <f t="shared" si="1"/>
        <v>35000</v>
      </c>
      <c r="G8" s="95">
        <f t="shared" si="0"/>
        <v>5</v>
      </c>
      <c r="H8" s="43"/>
      <c r="I8" s="43"/>
      <c r="J8" s="43"/>
      <c r="K8" s="43"/>
      <c r="L8" s="43"/>
      <c r="M8" s="43">
        <v>1</v>
      </c>
      <c r="N8" s="43">
        <v>1</v>
      </c>
      <c r="O8" s="43">
        <v>1</v>
      </c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>
        <v>1</v>
      </c>
      <c r="AC8" s="43"/>
      <c r="AD8" s="43">
        <v>1</v>
      </c>
      <c r="AE8" s="43"/>
      <c r="AF8" s="43"/>
      <c r="AG8" s="43"/>
      <c r="AH8" s="43"/>
      <c r="AI8" s="43"/>
      <c r="AJ8" s="43"/>
      <c r="AK8" s="98"/>
      <c r="AL8" s="43"/>
      <c r="AM8" s="43"/>
      <c r="AN8" s="43"/>
      <c r="AO8" s="43"/>
      <c r="AP8" s="43"/>
      <c r="AQ8" s="43"/>
      <c r="AR8" s="43"/>
      <c r="AS8" s="43"/>
      <c r="AT8" s="43"/>
      <c r="AU8" s="44"/>
    </row>
    <row r="9" spans="2:47" s="38" customFormat="1" ht="30" customHeight="1" x14ac:dyDescent="0.2">
      <c r="B9" s="78" t="s">
        <v>15</v>
      </c>
      <c r="C9" s="63" t="s">
        <v>57</v>
      </c>
      <c r="D9" s="64"/>
      <c r="E9" s="42">
        <v>5500</v>
      </c>
      <c r="F9" s="18">
        <f t="shared" si="1"/>
        <v>88000</v>
      </c>
      <c r="G9" s="95">
        <f t="shared" si="0"/>
        <v>16</v>
      </c>
      <c r="H9" s="43"/>
      <c r="I9" s="43"/>
      <c r="J9" s="43"/>
      <c r="K9" s="43"/>
      <c r="L9" s="43"/>
      <c r="M9" s="43">
        <v>1</v>
      </c>
      <c r="N9" s="43"/>
      <c r="O9" s="43"/>
      <c r="P9" s="43">
        <v>1</v>
      </c>
      <c r="Q9" s="43">
        <v>2</v>
      </c>
      <c r="R9" s="43">
        <v>2</v>
      </c>
      <c r="S9" s="43">
        <v>1</v>
      </c>
      <c r="T9" s="43"/>
      <c r="U9" s="43">
        <v>1</v>
      </c>
      <c r="V9" s="43">
        <v>2</v>
      </c>
      <c r="W9" s="43">
        <v>1</v>
      </c>
      <c r="X9" s="43"/>
      <c r="Y9" s="43"/>
      <c r="Z9" s="43"/>
      <c r="AA9" s="43">
        <v>1</v>
      </c>
      <c r="AB9" s="43">
        <v>2</v>
      </c>
      <c r="AC9" s="43">
        <v>1</v>
      </c>
      <c r="AD9" s="43"/>
      <c r="AE9" s="43"/>
      <c r="AF9" s="43"/>
      <c r="AG9" s="43">
        <v>1</v>
      </c>
      <c r="AH9" s="43"/>
      <c r="AI9" s="43"/>
      <c r="AJ9" s="43"/>
      <c r="AK9" s="98"/>
      <c r="AL9" s="43"/>
      <c r="AM9" s="43"/>
      <c r="AN9" s="43"/>
      <c r="AO9" s="43"/>
      <c r="AP9" s="43"/>
      <c r="AQ9" s="43"/>
      <c r="AR9" s="43"/>
      <c r="AS9" s="43"/>
      <c r="AT9" s="43"/>
      <c r="AU9" s="44"/>
    </row>
    <row r="10" spans="2:47" s="38" customFormat="1" ht="30" customHeight="1" x14ac:dyDescent="0.2">
      <c r="B10" s="78" t="s">
        <v>16</v>
      </c>
      <c r="C10" s="63" t="s">
        <v>58</v>
      </c>
      <c r="D10" s="64"/>
      <c r="E10" s="42">
        <v>4000</v>
      </c>
      <c r="F10" s="18">
        <f t="shared" si="1"/>
        <v>12000</v>
      </c>
      <c r="G10" s="95">
        <f t="shared" si="0"/>
        <v>3</v>
      </c>
      <c r="H10" s="43"/>
      <c r="I10" s="43"/>
      <c r="J10" s="43"/>
      <c r="K10" s="43">
        <v>1</v>
      </c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>
        <v>1</v>
      </c>
      <c r="Z10" s="43">
        <v>1</v>
      </c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98"/>
      <c r="AL10" s="43"/>
      <c r="AM10" s="43"/>
      <c r="AN10" s="43"/>
      <c r="AO10" s="43"/>
      <c r="AP10" s="43"/>
      <c r="AQ10" s="43"/>
      <c r="AR10" s="43"/>
      <c r="AS10" s="43"/>
      <c r="AT10" s="43"/>
      <c r="AU10" s="44"/>
    </row>
    <row r="11" spans="2:47" s="38" customFormat="1" ht="30" customHeight="1" x14ac:dyDescent="0.2">
      <c r="B11" s="78" t="s">
        <v>17</v>
      </c>
      <c r="C11" s="63" t="s">
        <v>59</v>
      </c>
      <c r="D11" s="64"/>
      <c r="E11" s="42">
        <v>4000</v>
      </c>
      <c r="F11" s="18">
        <f t="shared" si="1"/>
        <v>4000</v>
      </c>
      <c r="G11" s="95">
        <f t="shared" si="0"/>
        <v>1</v>
      </c>
      <c r="H11" s="43"/>
      <c r="I11" s="43"/>
      <c r="J11" s="43"/>
      <c r="K11" s="43">
        <v>1</v>
      </c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98"/>
      <c r="AL11" s="43"/>
      <c r="AM11" s="43"/>
      <c r="AN11" s="43"/>
      <c r="AO11" s="43"/>
      <c r="AP11" s="43"/>
      <c r="AQ11" s="43"/>
      <c r="AR11" s="43"/>
      <c r="AS11" s="43"/>
      <c r="AT11" s="43"/>
      <c r="AU11" s="44"/>
    </row>
    <row r="12" spans="2:47" s="38" customFormat="1" ht="30" customHeight="1" x14ac:dyDescent="0.2">
      <c r="B12" s="78" t="s">
        <v>18</v>
      </c>
      <c r="C12" s="63" t="s">
        <v>60</v>
      </c>
      <c r="D12" s="64"/>
      <c r="E12" s="42">
        <v>4000</v>
      </c>
      <c r="F12" s="18">
        <f t="shared" si="1"/>
        <v>4000</v>
      </c>
      <c r="G12" s="95">
        <f t="shared" si="0"/>
        <v>1</v>
      </c>
      <c r="H12" s="43"/>
      <c r="I12" s="43"/>
      <c r="J12" s="43"/>
      <c r="K12" s="43"/>
      <c r="L12" s="43">
        <v>1</v>
      </c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98"/>
      <c r="AL12" s="43"/>
      <c r="AM12" s="45"/>
      <c r="AN12" s="43"/>
      <c r="AO12" s="43"/>
      <c r="AP12" s="43"/>
      <c r="AQ12" s="43"/>
      <c r="AR12" s="43"/>
      <c r="AS12" s="43"/>
      <c r="AT12" s="43"/>
      <c r="AU12" s="44"/>
    </row>
    <row r="13" spans="2:47" s="38" customFormat="1" ht="30" customHeight="1" x14ac:dyDescent="0.2">
      <c r="B13" s="78" t="s">
        <v>19</v>
      </c>
      <c r="C13" s="63" t="s">
        <v>59</v>
      </c>
      <c r="D13" s="64"/>
      <c r="E13" s="42">
        <v>5000</v>
      </c>
      <c r="F13" s="18">
        <f t="shared" si="1"/>
        <v>0</v>
      </c>
      <c r="G13" s="95">
        <f t="shared" si="0"/>
        <v>0</v>
      </c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99"/>
      <c r="AL13" s="43"/>
      <c r="AM13" s="43"/>
      <c r="AN13" s="43"/>
      <c r="AO13" s="43"/>
      <c r="AP13" s="43"/>
      <c r="AQ13" s="43"/>
      <c r="AR13" s="43"/>
      <c r="AS13" s="43"/>
      <c r="AT13" s="43"/>
      <c r="AU13" s="44"/>
    </row>
    <row r="14" spans="2:47" s="38" customFormat="1" ht="30" customHeight="1" x14ac:dyDescent="0.2">
      <c r="B14" s="78" t="s">
        <v>20</v>
      </c>
      <c r="C14" s="63" t="s">
        <v>53</v>
      </c>
      <c r="D14" s="64"/>
      <c r="E14" s="42">
        <v>7000</v>
      </c>
      <c r="F14" s="18">
        <f t="shared" si="1"/>
        <v>21000</v>
      </c>
      <c r="G14" s="95">
        <f t="shared" si="0"/>
        <v>3</v>
      </c>
      <c r="H14" s="43"/>
      <c r="I14" s="43">
        <v>1</v>
      </c>
      <c r="J14" s="43"/>
      <c r="K14" s="43"/>
      <c r="L14" s="43"/>
      <c r="M14" s="43"/>
      <c r="N14" s="43"/>
      <c r="O14" s="43">
        <v>1</v>
      </c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>
        <v>1</v>
      </c>
      <c r="AH14" s="43"/>
      <c r="AI14" s="43"/>
      <c r="AJ14" s="43"/>
      <c r="AK14" s="98"/>
      <c r="AL14" s="43"/>
      <c r="AM14" s="40"/>
      <c r="AN14" s="43"/>
      <c r="AO14" s="43"/>
      <c r="AP14" s="43"/>
      <c r="AQ14" s="43"/>
      <c r="AR14" s="43"/>
      <c r="AS14" s="43"/>
      <c r="AT14" s="43"/>
      <c r="AU14" s="44"/>
    </row>
    <row r="15" spans="2:47" s="38" customFormat="1" ht="30" customHeight="1" x14ac:dyDescent="0.2">
      <c r="B15" s="78" t="s">
        <v>21</v>
      </c>
      <c r="C15" s="63" t="s">
        <v>66</v>
      </c>
      <c r="D15" s="64"/>
      <c r="E15" s="42">
        <v>7000</v>
      </c>
      <c r="F15" s="18">
        <f t="shared" si="1"/>
        <v>28000</v>
      </c>
      <c r="G15" s="95">
        <f t="shared" si="0"/>
        <v>4</v>
      </c>
      <c r="H15" s="43">
        <v>1</v>
      </c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>
        <v>1</v>
      </c>
      <c r="U15" s="43"/>
      <c r="V15" s="43"/>
      <c r="W15" s="43"/>
      <c r="X15" s="43"/>
      <c r="Y15" s="43">
        <v>1</v>
      </c>
      <c r="Z15" s="43"/>
      <c r="AA15" s="43"/>
      <c r="AB15" s="43"/>
      <c r="AC15" s="43"/>
      <c r="AD15" s="43"/>
      <c r="AE15" s="43">
        <v>1</v>
      </c>
      <c r="AF15" s="43"/>
      <c r="AG15" s="43"/>
      <c r="AH15" s="43"/>
      <c r="AI15" s="43"/>
      <c r="AJ15" s="43"/>
      <c r="AK15" s="98"/>
      <c r="AL15" s="43"/>
      <c r="AM15" s="43"/>
      <c r="AN15" s="43"/>
      <c r="AO15" s="43"/>
      <c r="AP15" s="43"/>
      <c r="AQ15" s="43"/>
      <c r="AR15" s="43"/>
      <c r="AS15" s="43"/>
      <c r="AT15" s="43"/>
      <c r="AU15" s="44"/>
    </row>
    <row r="16" spans="2:47" s="38" customFormat="1" ht="30" customHeight="1" x14ac:dyDescent="0.2">
      <c r="B16" s="78" t="s">
        <v>22</v>
      </c>
      <c r="C16" s="63"/>
      <c r="D16" s="64"/>
      <c r="E16" s="42">
        <v>7000</v>
      </c>
      <c r="F16" s="18">
        <f t="shared" si="1"/>
        <v>0</v>
      </c>
      <c r="G16" s="95">
        <f t="shared" si="0"/>
        <v>0</v>
      </c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98"/>
      <c r="AL16" s="43"/>
      <c r="AM16" s="43"/>
      <c r="AN16" s="43"/>
      <c r="AO16" s="43"/>
      <c r="AP16" s="43"/>
      <c r="AQ16" s="43"/>
      <c r="AR16" s="43"/>
      <c r="AS16" s="43"/>
      <c r="AT16" s="43"/>
      <c r="AU16" s="44"/>
    </row>
    <row r="17" spans="2:47" s="38" customFormat="1" ht="30" customHeight="1" x14ac:dyDescent="0.2">
      <c r="B17" s="78" t="s">
        <v>23</v>
      </c>
      <c r="C17" s="63"/>
      <c r="D17" s="64"/>
      <c r="E17" s="42">
        <v>7000</v>
      </c>
      <c r="F17" s="18">
        <f t="shared" si="1"/>
        <v>0</v>
      </c>
      <c r="G17" s="95">
        <f t="shared" si="0"/>
        <v>0</v>
      </c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98"/>
      <c r="AL17" s="43"/>
      <c r="AM17" s="43"/>
      <c r="AN17" s="43"/>
      <c r="AO17" s="43"/>
      <c r="AP17" s="43"/>
      <c r="AQ17" s="43"/>
      <c r="AR17" s="43"/>
      <c r="AS17" s="43"/>
      <c r="AT17" s="43"/>
      <c r="AU17" s="44"/>
    </row>
    <row r="18" spans="2:47" s="38" customFormat="1" ht="30" customHeight="1" x14ac:dyDescent="0.2">
      <c r="B18" s="78" t="s">
        <v>24</v>
      </c>
      <c r="C18" s="63"/>
      <c r="D18" s="64"/>
      <c r="E18" s="42">
        <v>7000</v>
      </c>
      <c r="F18" s="18">
        <f t="shared" si="1"/>
        <v>0</v>
      </c>
      <c r="G18" s="95">
        <f t="shared" si="0"/>
        <v>0</v>
      </c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99"/>
      <c r="AL18" s="43"/>
      <c r="AM18" s="43"/>
      <c r="AN18" s="43"/>
      <c r="AO18" s="43"/>
      <c r="AP18" s="43"/>
      <c r="AQ18" s="43"/>
      <c r="AR18" s="43"/>
      <c r="AS18" s="43"/>
      <c r="AT18" s="43"/>
      <c r="AU18" s="44"/>
    </row>
    <row r="19" spans="2:47" s="38" customFormat="1" ht="30" customHeight="1" x14ac:dyDescent="0.2">
      <c r="B19" s="79" t="s">
        <v>25</v>
      </c>
      <c r="C19" s="65"/>
      <c r="D19" s="9"/>
      <c r="E19" s="61">
        <v>7000</v>
      </c>
      <c r="F19" s="50">
        <f t="shared" si="1"/>
        <v>0</v>
      </c>
      <c r="G19" s="95">
        <f t="shared" si="0"/>
        <v>0</v>
      </c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98"/>
      <c r="AL19" s="45"/>
      <c r="AM19" s="45"/>
      <c r="AN19" s="45"/>
      <c r="AO19" s="45"/>
      <c r="AP19" s="45"/>
      <c r="AQ19" s="45"/>
      <c r="AR19" s="45"/>
      <c r="AS19" s="45"/>
      <c r="AT19" s="45"/>
      <c r="AU19" s="60"/>
    </row>
    <row r="20" spans="2:47" s="38" customFormat="1" ht="20.100000000000001" customHeight="1" x14ac:dyDescent="0.2">
      <c r="B20" s="139" t="s">
        <v>8</v>
      </c>
      <c r="C20" s="140"/>
      <c r="D20" s="144"/>
      <c r="E20" s="146">
        <f>SUM(E6:E8,E10:E15)+E9*2</f>
        <v>61500</v>
      </c>
      <c r="F20" s="125">
        <f t="shared" ref="F20:X20" si="2">SUM(F6:F19)</f>
        <v>230000</v>
      </c>
      <c r="G20" s="125">
        <f t="shared" si="2"/>
        <v>39</v>
      </c>
      <c r="H20" s="23">
        <f t="shared" si="2"/>
        <v>1</v>
      </c>
      <c r="I20" s="23">
        <f t="shared" si="2"/>
        <v>1</v>
      </c>
      <c r="J20" s="23">
        <f t="shared" si="2"/>
        <v>1</v>
      </c>
      <c r="K20" s="23">
        <f t="shared" si="2"/>
        <v>2</v>
      </c>
      <c r="L20" s="23">
        <f t="shared" si="2"/>
        <v>1</v>
      </c>
      <c r="M20" s="23">
        <f t="shared" si="2"/>
        <v>3</v>
      </c>
      <c r="N20" s="23">
        <f t="shared" si="2"/>
        <v>1</v>
      </c>
      <c r="O20" s="23">
        <f t="shared" si="2"/>
        <v>2</v>
      </c>
      <c r="P20" s="23">
        <f t="shared" si="2"/>
        <v>1</v>
      </c>
      <c r="Q20" s="23">
        <f t="shared" si="2"/>
        <v>2</v>
      </c>
      <c r="R20" s="23">
        <f t="shared" si="2"/>
        <v>2</v>
      </c>
      <c r="S20" s="23">
        <f t="shared" si="2"/>
        <v>1</v>
      </c>
      <c r="T20" s="23">
        <f t="shared" si="2"/>
        <v>1</v>
      </c>
      <c r="U20" s="23">
        <f t="shared" si="2"/>
        <v>1</v>
      </c>
      <c r="V20" s="23">
        <f t="shared" si="2"/>
        <v>2</v>
      </c>
      <c r="W20" s="23">
        <f t="shared" si="2"/>
        <v>1</v>
      </c>
      <c r="X20" s="23">
        <f t="shared" si="2"/>
        <v>1</v>
      </c>
      <c r="Y20" s="23">
        <f t="shared" ref="Y20:AH20" si="3">SUM(Y6:Y19)</f>
        <v>2</v>
      </c>
      <c r="Z20" s="23">
        <f t="shared" si="3"/>
        <v>1</v>
      </c>
      <c r="AA20" s="23">
        <f t="shared" si="3"/>
        <v>1</v>
      </c>
      <c r="AB20" s="23">
        <f t="shared" si="3"/>
        <v>4</v>
      </c>
      <c r="AC20" s="23">
        <f t="shared" si="3"/>
        <v>1</v>
      </c>
      <c r="AD20" s="23">
        <f t="shared" si="3"/>
        <v>2</v>
      </c>
      <c r="AE20" s="23">
        <f t="shared" si="3"/>
        <v>1</v>
      </c>
      <c r="AF20" s="23">
        <f t="shared" si="3"/>
        <v>1</v>
      </c>
      <c r="AG20" s="23">
        <f t="shared" si="3"/>
        <v>2</v>
      </c>
      <c r="AH20" s="23">
        <f t="shared" si="3"/>
        <v>0</v>
      </c>
      <c r="AI20" s="23">
        <f>SUM(AI6:AI19)</f>
        <v>0</v>
      </c>
      <c r="AJ20" s="23">
        <f>SUM(AJ6:AJ19)</f>
        <v>0</v>
      </c>
      <c r="AK20" s="100">
        <f>SUM(AK6:AK19)</f>
        <v>0</v>
      </c>
      <c r="AL20" s="101">
        <f>SUM(AL6:AL19)</f>
        <v>0</v>
      </c>
      <c r="AM20" s="101">
        <f t="shared" ref="AM20:AU20" si="4">SUM(AM6:AM19)</f>
        <v>0</v>
      </c>
      <c r="AN20" s="101">
        <f t="shared" si="4"/>
        <v>0</v>
      </c>
      <c r="AO20" s="101">
        <f t="shared" si="4"/>
        <v>0</v>
      </c>
      <c r="AP20" s="101">
        <f t="shared" si="4"/>
        <v>0</v>
      </c>
      <c r="AQ20" s="101">
        <f t="shared" si="4"/>
        <v>0</v>
      </c>
      <c r="AR20" s="101">
        <f t="shared" si="4"/>
        <v>0</v>
      </c>
      <c r="AS20" s="101">
        <f t="shared" si="4"/>
        <v>0</v>
      </c>
      <c r="AT20" s="101">
        <f t="shared" si="4"/>
        <v>0</v>
      </c>
      <c r="AU20" s="102">
        <f t="shared" si="4"/>
        <v>0</v>
      </c>
    </row>
    <row r="21" spans="2:47" s="38" customFormat="1" ht="20.100000000000001" customHeight="1" x14ac:dyDescent="0.2">
      <c r="B21" s="141"/>
      <c r="C21" s="142"/>
      <c r="D21" s="145"/>
      <c r="E21" s="147"/>
      <c r="F21" s="126"/>
      <c r="G21" s="126"/>
      <c r="H21" s="46">
        <f>$E6*H6+$E7*H7+$E8*H8+$E9*H9+$E10*H10+$E11*H11+$E12*H12+$E14*H14+$E15*H15+$E16*H16+$E17*H17+$E18*H18+$E19*H19+$E13*H13</f>
        <v>7000</v>
      </c>
      <c r="I21" s="28">
        <f t="shared" ref="I21:AK21" si="5">$E6*I6+$E7*I7+$E8*I8+$E9*I9+$E10*I10+$E11*I11+$E12*I12+$E14*I14+$E15*I15+$E16*I16+$E17*I17+$E18*I18+$E19*I19+$E13*I13</f>
        <v>7000</v>
      </c>
      <c r="J21" s="28">
        <f t="shared" si="5"/>
        <v>6500</v>
      </c>
      <c r="K21" s="28">
        <f t="shared" si="5"/>
        <v>8000</v>
      </c>
      <c r="L21" s="28">
        <f t="shared" si="5"/>
        <v>4000</v>
      </c>
      <c r="M21" s="28">
        <f t="shared" si="5"/>
        <v>19000</v>
      </c>
      <c r="N21" s="28">
        <f t="shared" si="5"/>
        <v>7000</v>
      </c>
      <c r="O21" s="28">
        <f t="shared" si="5"/>
        <v>14000</v>
      </c>
      <c r="P21" s="28">
        <f t="shared" si="5"/>
        <v>5500</v>
      </c>
      <c r="Q21" s="28">
        <f t="shared" si="5"/>
        <v>11000</v>
      </c>
      <c r="R21" s="28">
        <f t="shared" si="5"/>
        <v>11000</v>
      </c>
      <c r="S21" s="28">
        <f t="shared" si="5"/>
        <v>5500</v>
      </c>
      <c r="T21" s="28">
        <f t="shared" si="5"/>
        <v>7000</v>
      </c>
      <c r="U21" s="28">
        <f t="shared" si="5"/>
        <v>5500</v>
      </c>
      <c r="V21" s="28">
        <f t="shared" si="5"/>
        <v>11000</v>
      </c>
      <c r="W21" s="28">
        <f t="shared" si="5"/>
        <v>5500</v>
      </c>
      <c r="X21" s="28">
        <f t="shared" si="5"/>
        <v>6500</v>
      </c>
      <c r="Y21" s="28">
        <f t="shared" si="5"/>
        <v>11000</v>
      </c>
      <c r="Z21" s="28">
        <f t="shared" si="5"/>
        <v>4000</v>
      </c>
      <c r="AA21" s="28">
        <f t="shared" si="5"/>
        <v>5500</v>
      </c>
      <c r="AB21" s="28">
        <f t="shared" si="5"/>
        <v>24000</v>
      </c>
      <c r="AC21" s="28">
        <f t="shared" si="5"/>
        <v>5500</v>
      </c>
      <c r="AD21" s="28">
        <f t="shared" si="5"/>
        <v>13500</v>
      </c>
      <c r="AE21" s="28">
        <f t="shared" si="5"/>
        <v>7000</v>
      </c>
      <c r="AF21" s="28">
        <f t="shared" si="5"/>
        <v>6000</v>
      </c>
      <c r="AG21" s="28">
        <f t="shared" si="5"/>
        <v>12500</v>
      </c>
      <c r="AH21" s="28">
        <f t="shared" si="5"/>
        <v>0</v>
      </c>
      <c r="AI21" s="28">
        <f t="shared" si="5"/>
        <v>0</v>
      </c>
      <c r="AJ21" s="28">
        <f t="shared" si="5"/>
        <v>0</v>
      </c>
      <c r="AK21" s="74">
        <f t="shared" si="5"/>
        <v>0</v>
      </c>
      <c r="AL21" s="28">
        <f>$E6*AL6+$E7*AL7+$E8*AL8+$E9*AL9+$E10*AL10+$E11*AL11+$E12*AL12+$E14*AL14+$E15*AL15+$E16*AL16+$E17*AL17+$E18*AL18+$E19*AL19+$E13*AL13</f>
        <v>0</v>
      </c>
      <c r="AM21" s="28">
        <f>$E6*AM6+$E7*AM7+$E8*AM8+$E9*AM9+$E10*AM10+$E11*AM11+$E12*AM12+$E14*AM14+$E15*AM15+$E16*AM16+$E17*AM17+$E18*AM18+$E19*AM19+$E13*AM13</f>
        <v>0</v>
      </c>
      <c r="AN21" s="28">
        <f>$E6*AN6+$E7*AN7+$E8*AN8+$E9*AN9+$E10*AN10+$E11*AN11+$E12*AN12+$E14*AN14+$E15*AN15+$E16*AN16+$E17*AN17+$E18*AN18+$E19*AN19+$E13*AN13</f>
        <v>0</v>
      </c>
      <c r="AO21" s="28">
        <f t="shared" ref="AO21:AU21" si="6">$E6*AO6+$E7*AO7+$E8*AO8+$E9*AO9+$E10*AO10+$E11*AO11+$E12*AO12+$E14*AO14+$E15*AO15+$E16*AO16+$E17*AO17+$E18*AO18+$E19*AO19+$E13*AO13</f>
        <v>0</v>
      </c>
      <c r="AP21" s="28">
        <f t="shared" si="6"/>
        <v>0</v>
      </c>
      <c r="AQ21" s="28">
        <f t="shared" si="6"/>
        <v>0</v>
      </c>
      <c r="AR21" s="28">
        <f t="shared" si="6"/>
        <v>0</v>
      </c>
      <c r="AS21" s="28">
        <f t="shared" si="6"/>
        <v>0</v>
      </c>
      <c r="AT21" s="28">
        <f t="shared" si="6"/>
        <v>0</v>
      </c>
      <c r="AU21" s="29">
        <f t="shared" si="6"/>
        <v>0</v>
      </c>
    </row>
  </sheetData>
  <sheetProtection password="CC67" sheet="1" objects="1" scenarios="1"/>
  <mergeCells count="10">
    <mergeCell ref="B20:D21"/>
    <mergeCell ref="E20:E21"/>
    <mergeCell ref="F20:F21"/>
    <mergeCell ref="G20:G21"/>
    <mergeCell ref="B2:G2"/>
    <mergeCell ref="B4:B5"/>
    <mergeCell ref="C4:C5"/>
    <mergeCell ref="D4:D5"/>
    <mergeCell ref="E4:E5"/>
    <mergeCell ref="F4:F5"/>
  </mergeCells>
  <phoneticPr fontId="2" type="noConversion"/>
  <pageMargins left="0.7" right="0.7" top="0.75" bottom="0.75" header="0.3" footer="0.3"/>
  <pageSetup paperSize="9" scale="31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B1:AU21"/>
  <sheetViews>
    <sheetView showGridLines="0" zoomScale="85" zoomScaleNormal="85" workbookViewId="0">
      <pane xSplit="7" ySplit="5" topLeftCell="L6" activePane="bottomRight" state="frozen"/>
      <selection pane="topRight" activeCell="G1" sqref="G1"/>
      <selection pane="bottomLeft" activeCell="A6" sqref="A6"/>
      <selection pane="bottomRight" activeCell="C6" sqref="C6:C15"/>
    </sheetView>
  </sheetViews>
  <sheetFormatPr defaultColWidth="9.125" defaultRowHeight="14.25" x14ac:dyDescent="0.2"/>
  <cols>
    <col min="1" max="1" width="0.375" style="1" customWidth="1"/>
    <col min="2" max="2" width="16.875" style="1" bestFit="1" customWidth="1"/>
    <col min="3" max="4" width="13.625" style="1" customWidth="1"/>
    <col min="5" max="5" width="10.625" style="1" hidden="1" customWidth="1"/>
    <col min="6" max="6" width="10.625" style="1" customWidth="1"/>
    <col min="7" max="7" width="10.625" style="3" customWidth="1"/>
    <col min="8" max="22" width="10.625" style="4" customWidth="1"/>
    <col min="23" max="47" width="10.625" style="1" customWidth="1"/>
    <col min="48" max="16384" width="9.125" style="1"/>
  </cols>
  <sheetData>
    <row r="1" spans="2:47" ht="3.75" customHeight="1" x14ac:dyDescent="0.2"/>
    <row r="2" spans="2:47" ht="20.25" x14ac:dyDescent="0.2">
      <c r="B2" s="149" t="s">
        <v>26</v>
      </c>
      <c r="C2" s="149"/>
      <c r="D2" s="149"/>
      <c r="E2" s="149"/>
      <c r="F2" s="149"/>
      <c r="G2" s="149"/>
    </row>
    <row r="3" spans="2:47" ht="4.9000000000000004" customHeight="1" x14ac:dyDescent="0.2"/>
    <row r="4" spans="2:47" s="38" customFormat="1" ht="20.100000000000001" customHeight="1" x14ac:dyDescent="0.2">
      <c r="B4" s="150" t="s">
        <v>3</v>
      </c>
      <c r="C4" s="123" t="s">
        <v>45</v>
      </c>
      <c r="D4" s="153" t="s">
        <v>46</v>
      </c>
      <c r="E4" s="135" t="s">
        <v>4</v>
      </c>
      <c r="F4" s="129" t="s">
        <v>5</v>
      </c>
      <c r="G4" s="32" t="s">
        <v>0</v>
      </c>
      <c r="H4" s="33">
        <v>1</v>
      </c>
      <c r="I4" s="34">
        <v>2</v>
      </c>
      <c r="J4" s="34">
        <v>3</v>
      </c>
      <c r="K4" s="34">
        <v>4</v>
      </c>
      <c r="L4" s="34">
        <v>5</v>
      </c>
      <c r="M4" s="34">
        <v>6</v>
      </c>
      <c r="N4" s="34">
        <v>7</v>
      </c>
      <c r="O4" s="34">
        <v>8</v>
      </c>
      <c r="P4" s="34">
        <v>9</v>
      </c>
      <c r="Q4" s="34">
        <v>10</v>
      </c>
      <c r="R4" s="34">
        <v>11</v>
      </c>
      <c r="S4" s="34">
        <v>12</v>
      </c>
      <c r="T4" s="34">
        <v>13</v>
      </c>
      <c r="U4" s="34">
        <v>14</v>
      </c>
      <c r="V4" s="34">
        <v>15</v>
      </c>
      <c r="W4" s="34">
        <v>16</v>
      </c>
      <c r="X4" s="34">
        <v>17</v>
      </c>
      <c r="Y4" s="33">
        <v>18</v>
      </c>
      <c r="Z4" s="34">
        <v>19</v>
      </c>
      <c r="AA4" s="34">
        <v>20</v>
      </c>
      <c r="AB4" s="34">
        <v>21</v>
      </c>
      <c r="AC4" s="34">
        <v>22</v>
      </c>
      <c r="AD4" s="34">
        <v>23</v>
      </c>
      <c r="AE4" s="34">
        <v>24</v>
      </c>
      <c r="AF4" s="34">
        <v>25</v>
      </c>
      <c r="AG4" s="34">
        <v>26</v>
      </c>
      <c r="AH4" s="34">
        <v>27</v>
      </c>
      <c r="AI4" s="34">
        <v>28</v>
      </c>
      <c r="AJ4" s="34">
        <v>29</v>
      </c>
      <c r="AK4" s="96">
        <v>30</v>
      </c>
      <c r="AL4" s="34">
        <v>31</v>
      </c>
      <c r="AM4" s="34">
        <v>32</v>
      </c>
      <c r="AN4" s="34">
        <v>33</v>
      </c>
      <c r="AO4" s="34">
        <v>34</v>
      </c>
      <c r="AP4" s="34">
        <v>35</v>
      </c>
      <c r="AQ4" s="34">
        <v>36</v>
      </c>
      <c r="AR4" s="34">
        <v>37</v>
      </c>
      <c r="AS4" s="34">
        <v>38</v>
      </c>
      <c r="AT4" s="34">
        <v>39</v>
      </c>
      <c r="AU4" s="35">
        <v>40</v>
      </c>
    </row>
    <row r="5" spans="2:47" s="38" customFormat="1" ht="20.100000000000001" customHeight="1" x14ac:dyDescent="0.2">
      <c r="B5" s="151"/>
      <c r="C5" s="152"/>
      <c r="D5" s="154"/>
      <c r="E5" s="136"/>
      <c r="F5" s="130"/>
      <c r="G5" s="36" t="s">
        <v>1</v>
      </c>
      <c r="H5" s="37">
        <v>1531</v>
      </c>
      <c r="I5" s="37">
        <v>1414</v>
      </c>
      <c r="J5" s="37">
        <v>1130</v>
      </c>
      <c r="K5" s="37">
        <v>916</v>
      </c>
      <c r="L5" s="37">
        <v>926</v>
      </c>
      <c r="M5" s="37">
        <v>611</v>
      </c>
      <c r="N5" s="37">
        <v>509</v>
      </c>
      <c r="O5" s="37">
        <v>1022</v>
      </c>
      <c r="P5" s="37">
        <v>1614</v>
      </c>
      <c r="Q5" s="37">
        <v>728</v>
      </c>
      <c r="R5" s="37">
        <v>1121</v>
      </c>
      <c r="S5" s="37">
        <v>1118</v>
      </c>
      <c r="T5" s="37">
        <v>1622</v>
      </c>
      <c r="U5" s="37">
        <v>1415</v>
      </c>
      <c r="V5" s="37">
        <v>1029</v>
      </c>
      <c r="W5" s="37">
        <v>1717</v>
      </c>
      <c r="X5" s="37">
        <v>1102</v>
      </c>
      <c r="Y5" s="37">
        <v>1219</v>
      </c>
      <c r="Z5" s="37">
        <v>717</v>
      </c>
      <c r="AA5" s="37">
        <v>710</v>
      </c>
      <c r="AB5" s="37">
        <v>726</v>
      </c>
      <c r="AC5" s="37">
        <v>1731</v>
      </c>
      <c r="AD5" s="37">
        <v>1714</v>
      </c>
      <c r="AE5" s="37"/>
      <c r="AF5" s="37"/>
      <c r="AG5" s="37"/>
      <c r="AH5" s="37"/>
      <c r="AI5" s="37"/>
      <c r="AJ5" s="37"/>
      <c r="AK5" s="94"/>
      <c r="AL5" s="7"/>
      <c r="AM5" s="7"/>
      <c r="AN5" s="7"/>
      <c r="AO5" s="7"/>
      <c r="AP5" s="7"/>
      <c r="AQ5" s="7"/>
      <c r="AR5" s="7"/>
      <c r="AS5" s="7"/>
      <c r="AT5" s="7"/>
      <c r="AU5" s="9"/>
    </row>
    <row r="6" spans="2:47" s="38" customFormat="1" ht="30" customHeight="1" x14ac:dyDescent="0.2">
      <c r="B6" s="77" t="s">
        <v>12</v>
      </c>
      <c r="C6" s="62" t="s">
        <v>53</v>
      </c>
      <c r="D6" s="35"/>
      <c r="E6" s="39">
        <v>6000</v>
      </c>
      <c r="F6" s="12">
        <f>E6*G6</f>
        <v>36000</v>
      </c>
      <c r="G6" s="95">
        <f t="shared" ref="G6:G19" si="0">SUM(H6:AU6)</f>
        <v>6</v>
      </c>
      <c r="H6" s="40"/>
      <c r="I6" s="40"/>
      <c r="J6" s="40">
        <v>1</v>
      </c>
      <c r="K6" s="40"/>
      <c r="L6" s="40">
        <v>1</v>
      </c>
      <c r="M6" s="40"/>
      <c r="N6" s="40"/>
      <c r="O6" s="40"/>
      <c r="P6" s="40"/>
      <c r="Q6" s="40"/>
      <c r="R6" s="40">
        <v>1</v>
      </c>
      <c r="S6" s="40">
        <v>1</v>
      </c>
      <c r="T6" s="40"/>
      <c r="U6" s="40"/>
      <c r="V6" s="40"/>
      <c r="W6" s="40"/>
      <c r="X6" s="40"/>
      <c r="Y6" s="40">
        <v>1</v>
      </c>
      <c r="Z6" s="40"/>
      <c r="AA6" s="40"/>
      <c r="AB6" s="40"/>
      <c r="AC6" s="40"/>
      <c r="AD6" s="40">
        <v>1</v>
      </c>
      <c r="AE6" s="40"/>
      <c r="AF6" s="40"/>
      <c r="AG6" s="40"/>
      <c r="AH6" s="40"/>
      <c r="AI6" s="40"/>
      <c r="AJ6" s="40"/>
      <c r="AK6" s="97"/>
      <c r="AL6" s="40"/>
      <c r="AM6" s="40"/>
      <c r="AN6" s="40"/>
      <c r="AO6" s="40"/>
      <c r="AP6" s="40"/>
      <c r="AQ6" s="40"/>
      <c r="AR6" s="40"/>
      <c r="AS6" s="40"/>
      <c r="AT6" s="40"/>
      <c r="AU6" s="41"/>
    </row>
    <row r="7" spans="2:47" s="38" customFormat="1" ht="30" customHeight="1" x14ac:dyDescent="0.2">
      <c r="B7" s="78" t="s">
        <v>13</v>
      </c>
      <c r="C7" s="63" t="s">
        <v>54</v>
      </c>
      <c r="D7" s="64"/>
      <c r="E7" s="42">
        <v>6500</v>
      </c>
      <c r="F7" s="18">
        <f t="shared" ref="F7:F19" si="1">E7*G7</f>
        <v>19500</v>
      </c>
      <c r="G7" s="95">
        <f t="shared" si="0"/>
        <v>3</v>
      </c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>
        <v>1</v>
      </c>
      <c r="V7" s="43">
        <v>1</v>
      </c>
      <c r="W7" s="43"/>
      <c r="X7" s="43"/>
      <c r="Y7" s="43"/>
      <c r="Z7" s="43"/>
      <c r="AA7" s="43">
        <v>1</v>
      </c>
      <c r="AB7" s="43"/>
      <c r="AC7" s="43"/>
      <c r="AD7" s="43"/>
      <c r="AE7" s="43"/>
      <c r="AF7" s="43"/>
      <c r="AG7" s="43"/>
      <c r="AH7" s="43"/>
      <c r="AI7" s="43"/>
      <c r="AJ7" s="43"/>
      <c r="AK7" s="98"/>
      <c r="AL7" s="43"/>
      <c r="AM7" s="43"/>
      <c r="AN7" s="43"/>
      <c r="AO7" s="43"/>
      <c r="AP7" s="43"/>
      <c r="AQ7" s="43"/>
      <c r="AR7" s="43"/>
      <c r="AS7" s="43"/>
      <c r="AT7" s="43"/>
      <c r="AU7" s="44"/>
    </row>
    <row r="8" spans="2:47" s="38" customFormat="1" ht="30" customHeight="1" x14ac:dyDescent="0.2">
      <c r="B8" s="78" t="s">
        <v>14</v>
      </c>
      <c r="C8" s="63" t="s">
        <v>65</v>
      </c>
      <c r="D8" s="64"/>
      <c r="E8" s="42">
        <v>7000</v>
      </c>
      <c r="F8" s="18">
        <f t="shared" si="1"/>
        <v>7000</v>
      </c>
      <c r="G8" s="95">
        <f t="shared" si="0"/>
        <v>1</v>
      </c>
      <c r="H8" s="43">
        <v>1</v>
      </c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98"/>
      <c r="AL8" s="43"/>
      <c r="AM8" s="43"/>
      <c r="AN8" s="43"/>
      <c r="AO8" s="43"/>
      <c r="AP8" s="43"/>
      <c r="AQ8" s="43"/>
      <c r="AR8" s="43"/>
      <c r="AS8" s="43"/>
      <c r="AT8" s="43"/>
      <c r="AU8" s="44"/>
    </row>
    <row r="9" spans="2:47" s="38" customFormat="1" ht="30" customHeight="1" x14ac:dyDescent="0.2">
      <c r="B9" s="78" t="s">
        <v>15</v>
      </c>
      <c r="C9" s="63" t="s">
        <v>57</v>
      </c>
      <c r="D9" s="64"/>
      <c r="E9" s="42">
        <v>5500</v>
      </c>
      <c r="F9" s="18">
        <f t="shared" si="1"/>
        <v>110000</v>
      </c>
      <c r="G9" s="95">
        <f t="shared" si="0"/>
        <v>20</v>
      </c>
      <c r="H9" s="43"/>
      <c r="I9" s="43"/>
      <c r="J9" s="43"/>
      <c r="K9" s="43">
        <v>1</v>
      </c>
      <c r="L9" s="43"/>
      <c r="M9" s="43">
        <v>2</v>
      </c>
      <c r="N9" s="43">
        <v>1</v>
      </c>
      <c r="O9" s="43">
        <v>2</v>
      </c>
      <c r="P9" s="43">
        <v>1</v>
      </c>
      <c r="Q9" s="43"/>
      <c r="R9" s="43">
        <v>1</v>
      </c>
      <c r="S9" s="43"/>
      <c r="T9" s="43">
        <v>2</v>
      </c>
      <c r="U9" s="43"/>
      <c r="V9" s="43"/>
      <c r="W9" s="43">
        <v>2</v>
      </c>
      <c r="X9" s="43">
        <v>2</v>
      </c>
      <c r="Y9" s="43">
        <v>2</v>
      </c>
      <c r="Z9" s="43">
        <v>2</v>
      </c>
      <c r="AA9" s="43">
        <v>1</v>
      </c>
      <c r="AB9" s="43"/>
      <c r="AC9" s="43">
        <v>1</v>
      </c>
      <c r="AD9" s="43"/>
      <c r="AE9" s="43"/>
      <c r="AF9" s="43"/>
      <c r="AG9" s="43"/>
      <c r="AH9" s="43"/>
      <c r="AI9" s="43"/>
      <c r="AJ9" s="43"/>
      <c r="AK9" s="98"/>
      <c r="AL9" s="43"/>
      <c r="AM9" s="43"/>
      <c r="AN9" s="43"/>
      <c r="AO9" s="43"/>
      <c r="AP9" s="43"/>
      <c r="AQ9" s="43"/>
      <c r="AR9" s="43"/>
      <c r="AS9" s="43"/>
      <c r="AT9" s="43"/>
      <c r="AU9" s="44"/>
    </row>
    <row r="10" spans="2:47" s="38" customFormat="1" ht="30" customHeight="1" x14ac:dyDescent="0.2">
      <c r="B10" s="78" t="s">
        <v>16</v>
      </c>
      <c r="C10" s="63" t="s">
        <v>58</v>
      </c>
      <c r="D10" s="64"/>
      <c r="E10" s="42">
        <v>4000</v>
      </c>
      <c r="F10" s="18">
        <f t="shared" si="1"/>
        <v>12000</v>
      </c>
      <c r="G10" s="95">
        <f t="shared" si="0"/>
        <v>3</v>
      </c>
      <c r="H10" s="43"/>
      <c r="I10" s="43"/>
      <c r="J10" s="43"/>
      <c r="K10" s="43"/>
      <c r="L10" s="43"/>
      <c r="M10" s="43"/>
      <c r="N10" s="43"/>
      <c r="O10" s="43"/>
      <c r="P10" s="43"/>
      <c r="Q10" s="43">
        <v>1</v>
      </c>
      <c r="R10" s="43"/>
      <c r="S10" s="43"/>
      <c r="T10" s="43"/>
      <c r="U10" s="43"/>
      <c r="V10" s="43"/>
      <c r="W10" s="43"/>
      <c r="X10" s="43"/>
      <c r="Y10" s="43"/>
      <c r="Z10" s="43">
        <v>1</v>
      </c>
      <c r="AA10" s="43"/>
      <c r="AB10" s="43"/>
      <c r="AC10" s="43">
        <v>1</v>
      </c>
      <c r="AD10" s="43"/>
      <c r="AE10" s="43"/>
      <c r="AF10" s="43"/>
      <c r="AG10" s="43"/>
      <c r="AH10" s="43"/>
      <c r="AI10" s="43"/>
      <c r="AJ10" s="43"/>
      <c r="AK10" s="98"/>
      <c r="AL10" s="43"/>
      <c r="AM10" s="43"/>
      <c r="AN10" s="43"/>
      <c r="AO10" s="43"/>
      <c r="AP10" s="43"/>
      <c r="AQ10" s="43"/>
      <c r="AR10" s="43"/>
      <c r="AS10" s="43"/>
      <c r="AT10" s="43"/>
      <c r="AU10" s="44"/>
    </row>
    <row r="11" spans="2:47" s="38" customFormat="1" ht="30" customHeight="1" x14ac:dyDescent="0.2">
      <c r="B11" s="78" t="s">
        <v>17</v>
      </c>
      <c r="C11" s="63" t="s">
        <v>59</v>
      </c>
      <c r="D11" s="64"/>
      <c r="E11" s="42">
        <v>4000</v>
      </c>
      <c r="F11" s="18">
        <f t="shared" si="1"/>
        <v>16000</v>
      </c>
      <c r="G11" s="95">
        <f t="shared" si="0"/>
        <v>4</v>
      </c>
      <c r="H11" s="43"/>
      <c r="I11" s="43"/>
      <c r="J11" s="43"/>
      <c r="K11" s="43"/>
      <c r="L11" s="43"/>
      <c r="M11" s="43"/>
      <c r="N11" s="43">
        <v>1</v>
      </c>
      <c r="O11" s="43"/>
      <c r="P11" s="43"/>
      <c r="Q11" s="43"/>
      <c r="R11" s="43"/>
      <c r="S11" s="43"/>
      <c r="T11" s="43"/>
      <c r="U11" s="43"/>
      <c r="V11" s="43"/>
      <c r="W11" s="43">
        <v>1</v>
      </c>
      <c r="X11" s="43"/>
      <c r="Y11" s="43"/>
      <c r="Z11" s="43"/>
      <c r="AA11" s="43">
        <v>1</v>
      </c>
      <c r="AB11" s="43"/>
      <c r="AC11" s="43">
        <v>1</v>
      </c>
      <c r="AD11" s="43"/>
      <c r="AE11" s="43"/>
      <c r="AF11" s="43"/>
      <c r="AG11" s="43"/>
      <c r="AH11" s="43"/>
      <c r="AI11" s="43"/>
      <c r="AJ11" s="43"/>
      <c r="AK11" s="98"/>
      <c r="AL11" s="43"/>
      <c r="AM11" s="43"/>
      <c r="AN11" s="43"/>
      <c r="AO11" s="43"/>
      <c r="AP11" s="43"/>
      <c r="AQ11" s="43"/>
      <c r="AR11" s="43"/>
      <c r="AS11" s="43"/>
      <c r="AT11" s="43"/>
      <c r="AU11" s="44"/>
    </row>
    <row r="12" spans="2:47" s="38" customFormat="1" ht="30" customHeight="1" x14ac:dyDescent="0.2">
      <c r="B12" s="78" t="s">
        <v>18</v>
      </c>
      <c r="C12" s="63" t="s">
        <v>60</v>
      </c>
      <c r="D12" s="64"/>
      <c r="E12" s="42">
        <v>4000</v>
      </c>
      <c r="F12" s="18">
        <f t="shared" si="1"/>
        <v>4000</v>
      </c>
      <c r="G12" s="95">
        <f t="shared" si="0"/>
        <v>1</v>
      </c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>
        <v>1</v>
      </c>
      <c r="AB12" s="43"/>
      <c r="AC12" s="43"/>
      <c r="AD12" s="43"/>
      <c r="AE12" s="43"/>
      <c r="AF12" s="43"/>
      <c r="AG12" s="43"/>
      <c r="AH12" s="43"/>
      <c r="AI12" s="43"/>
      <c r="AJ12" s="43"/>
      <c r="AK12" s="98"/>
      <c r="AL12" s="43"/>
      <c r="AM12" s="43"/>
      <c r="AN12" s="43"/>
      <c r="AO12" s="43"/>
      <c r="AP12" s="43"/>
      <c r="AQ12" s="43"/>
      <c r="AR12" s="43"/>
      <c r="AS12" s="43"/>
      <c r="AT12" s="43"/>
      <c r="AU12" s="44"/>
    </row>
    <row r="13" spans="2:47" s="38" customFormat="1" ht="30" customHeight="1" x14ac:dyDescent="0.2">
      <c r="B13" s="78" t="s">
        <v>19</v>
      </c>
      <c r="C13" s="63" t="s">
        <v>59</v>
      </c>
      <c r="D13" s="64"/>
      <c r="E13" s="42">
        <v>5000</v>
      </c>
      <c r="F13" s="18">
        <f t="shared" si="1"/>
        <v>10000</v>
      </c>
      <c r="G13" s="95">
        <f t="shared" si="0"/>
        <v>2</v>
      </c>
      <c r="H13" s="45"/>
      <c r="I13" s="45">
        <v>1</v>
      </c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>
        <v>1</v>
      </c>
      <c r="AC13" s="45"/>
      <c r="AD13" s="45"/>
      <c r="AE13" s="45"/>
      <c r="AF13" s="45"/>
      <c r="AG13" s="45"/>
      <c r="AH13" s="45"/>
      <c r="AI13" s="45"/>
      <c r="AJ13" s="45"/>
      <c r="AK13" s="99"/>
      <c r="AL13" s="43"/>
      <c r="AM13" s="43"/>
      <c r="AN13" s="43"/>
      <c r="AO13" s="43"/>
      <c r="AP13" s="43"/>
      <c r="AQ13" s="43"/>
      <c r="AR13" s="43"/>
      <c r="AS13" s="43"/>
      <c r="AT13" s="43"/>
      <c r="AU13" s="44"/>
    </row>
    <row r="14" spans="2:47" s="38" customFormat="1" ht="30" customHeight="1" x14ac:dyDescent="0.2">
      <c r="B14" s="78" t="s">
        <v>20</v>
      </c>
      <c r="C14" s="63" t="s">
        <v>53</v>
      </c>
      <c r="D14" s="64"/>
      <c r="E14" s="42">
        <v>7000</v>
      </c>
      <c r="F14" s="18">
        <f t="shared" si="1"/>
        <v>7000</v>
      </c>
      <c r="G14" s="95">
        <f t="shared" si="0"/>
        <v>1</v>
      </c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>
        <v>1</v>
      </c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98"/>
      <c r="AL14" s="43"/>
      <c r="AM14" s="43"/>
      <c r="AN14" s="43"/>
      <c r="AO14" s="43"/>
      <c r="AP14" s="43"/>
      <c r="AQ14" s="43"/>
      <c r="AR14" s="43"/>
      <c r="AS14" s="43"/>
      <c r="AT14" s="43"/>
      <c r="AU14" s="44"/>
    </row>
    <row r="15" spans="2:47" s="38" customFormat="1" ht="30" customHeight="1" x14ac:dyDescent="0.2">
      <c r="B15" s="78" t="s">
        <v>21</v>
      </c>
      <c r="C15" s="63" t="s">
        <v>66</v>
      </c>
      <c r="D15" s="64"/>
      <c r="E15" s="42">
        <v>7000</v>
      </c>
      <c r="F15" s="18">
        <f t="shared" si="1"/>
        <v>7000</v>
      </c>
      <c r="G15" s="95">
        <f t="shared" si="0"/>
        <v>1</v>
      </c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>
        <v>1</v>
      </c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98"/>
      <c r="AL15" s="43"/>
      <c r="AM15" s="43"/>
      <c r="AN15" s="43"/>
      <c r="AO15" s="43"/>
      <c r="AP15" s="43"/>
      <c r="AQ15" s="43"/>
      <c r="AR15" s="43"/>
      <c r="AS15" s="43"/>
      <c r="AT15" s="43"/>
      <c r="AU15" s="44"/>
    </row>
    <row r="16" spans="2:47" s="38" customFormat="1" ht="30" customHeight="1" x14ac:dyDescent="0.2">
      <c r="B16" s="78" t="s">
        <v>22</v>
      </c>
      <c r="C16" s="63"/>
      <c r="D16" s="64"/>
      <c r="E16" s="42">
        <v>7000</v>
      </c>
      <c r="F16" s="18">
        <f t="shared" si="1"/>
        <v>0</v>
      </c>
      <c r="G16" s="95">
        <f t="shared" si="0"/>
        <v>0</v>
      </c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98"/>
      <c r="AL16" s="43"/>
      <c r="AM16" s="43"/>
      <c r="AN16" s="43"/>
      <c r="AO16" s="43"/>
      <c r="AP16" s="43"/>
      <c r="AQ16" s="43"/>
      <c r="AR16" s="43"/>
      <c r="AS16" s="43"/>
      <c r="AT16" s="43"/>
      <c r="AU16" s="44"/>
    </row>
    <row r="17" spans="2:47" s="38" customFormat="1" ht="30" customHeight="1" x14ac:dyDescent="0.2">
      <c r="B17" s="78" t="s">
        <v>23</v>
      </c>
      <c r="C17" s="63"/>
      <c r="D17" s="64"/>
      <c r="E17" s="42">
        <v>7000</v>
      </c>
      <c r="F17" s="18">
        <f t="shared" si="1"/>
        <v>0</v>
      </c>
      <c r="G17" s="95">
        <f t="shared" si="0"/>
        <v>0</v>
      </c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98"/>
      <c r="AL17" s="43"/>
      <c r="AM17" s="43"/>
      <c r="AN17" s="43"/>
      <c r="AO17" s="43"/>
      <c r="AP17" s="43"/>
      <c r="AQ17" s="43"/>
      <c r="AR17" s="43"/>
      <c r="AS17" s="43"/>
      <c r="AT17" s="43"/>
      <c r="AU17" s="44"/>
    </row>
    <row r="18" spans="2:47" s="38" customFormat="1" ht="30" customHeight="1" x14ac:dyDescent="0.2">
      <c r="B18" s="78" t="s">
        <v>24</v>
      </c>
      <c r="C18" s="63"/>
      <c r="D18" s="64"/>
      <c r="E18" s="42">
        <v>7000</v>
      </c>
      <c r="F18" s="18">
        <f t="shared" si="1"/>
        <v>0</v>
      </c>
      <c r="G18" s="95">
        <f t="shared" si="0"/>
        <v>0</v>
      </c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99"/>
      <c r="AL18" s="43"/>
      <c r="AM18" s="43"/>
      <c r="AN18" s="43"/>
      <c r="AO18" s="43"/>
      <c r="AP18" s="43"/>
      <c r="AQ18" s="43"/>
      <c r="AR18" s="43"/>
      <c r="AS18" s="43"/>
      <c r="AT18" s="43"/>
      <c r="AU18" s="44"/>
    </row>
    <row r="19" spans="2:47" s="38" customFormat="1" ht="30" customHeight="1" x14ac:dyDescent="0.2">
      <c r="B19" s="79" t="s">
        <v>25</v>
      </c>
      <c r="C19" s="65"/>
      <c r="D19" s="9"/>
      <c r="E19" s="61">
        <v>7000</v>
      </c>
      <c r="F19" s="50">
        <f t="shared" si="1"/>
        <v>0</v>
      </c>
      <c r="G19" s="95">
        <f t="shared" si="0"/>
        <v>0</v>
      </c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98"/>
      <c r="AL19" s="45"/>
      <c r="AM19" s="45"/>
      <c r="AN19" s="45"/>
      <c r="AO19" s="45"/>
      <c r="AP19" s="45"/>
      <c r="AQ19" s="45"/>
      <c r="AR19" s="45"/>
      <c r="AS19" s="45"/>
      <c r="AT19" s="45"/>
      <c r="AU19" s="60"/>
    </row>
    <row r="20" spans="2:47" s="38" customFormat="1" ht="20.100000000000001" customHeight="1" x14ac:dyDescent="0.2">
      <c r="B20" s="139" t="s">
        <v>8</v>
      </c>
      <c r="C20" s="140"/>
      <c r="D20" s="144"/>
      <c r="E20" s="146">
        <f>SUM(E6:E8,E10:E15)+E9*2</f>
        <v>61500</v>
      </c>
      <c r="F20" s="125">
        <f t="shared" ref="F20:X20" si="2">SUM(F6:F19)</f>
        <v>228500</v>
      </c>
      <c r="G20" s="125">
        <f t="shared" si="2"/>
        <v>42</v>
      </c>
      <c r="H20" s="23">
        <f t="shared" si="2"/>
        <v>1</v>
      </c>
      <c r="I20" s="23">
        <f t="shared" si="2"/>
        <v>1</v>
      </c>
      <c r="J20" s="23">
        <f t="shared" si="2"/>
        <v>1</v>
      </c>
      <c r="K20" s="23">
        <f t="shared" si="2"/>
        <v>1</v>
      </c>
      <c r="L20" s="23">
        <f t="shared" si="2"/>
        <v>1</v>
      </c>
      <c r="M20" s="23">
        <f t="shared" si="2"/>
        <v>2</v>
      </c>
      <c r="N20" s="23">
        <f t="shared" si="2"/>
        <v>2</v>
      </c>
      <c r="O20" s="23">
        <f t="shared" si="2"/>
        <v>2</v>
      </c>
      <c r="P20" s="23">
        <f t="shared" si="2"/>
        <v>1</v>
      </c>
      <c r="Q20" s="23">
        <f t="shared" si="2"/>
        <v>1</v>
      </c>
      <c r="R20" s="23">
        <f t="shared" si="2"/>
        <v>4</v>
      </c>
      <c r="S20" s="23">
        <f t="shared" si="2"/>
        <v>1</v>
      </c>
      <c r="T20" s="23">
        <f t="shared" si="2"/>
        <v>2</v>
      </c>
      <c r="U20" s="23">
        <f t="shared" si="2"/>
        <v>1</v>
      </c>
      <c r="V20" s="23">
        <f t="shared" si="2"/>
        <v>1</v>
      </c>
      <c r="W20" s="23">
        <f t="shared" si="2"/>
        <v>3</v>
      </c>
      <c r="X20" s="23">
        <f t="shared" si="2"/>
        <v>2</v>
      </c>
      <c r="Y20" s="23">
        <f t="shared" ref="Y20:AH20" si="3">SUM(Y6:Y19)</f>
        <v>3</v>
      </c>
      <c r="Z20" s="23">
        <f t="shared" si="3"/>
        <v>3</v>
      </c>
      <c r="AA20" s="23">
        <f t="shared" si="3"/>
        <v>4</v>
      </c>
      <c r="AB20" s="23">
        <f t="shared" si="3"/>
        <v>1</v>
      </c>
      <c r="AC20" s="23">
        <f t="shared" si="3"/>
        <v>3</v>
      </c>
      <c r="AD20" s="23">
        <f t="shared" si="3"/>
        <v>1</v>
      </c>
      <c r="AE20" s="23">
        <f t="shared" si="3"/>
        <v>0</v>
      </c>
      <c r="AF20" s="23">
        <f t="shared" si="3"/>
        <v>0</v>
      </c>
      <c r="AG20" s="23">
        <f t="shared" si="3"/>
        <v>0</v>
      </c>
      <c r="AH20" s="23">
        <f t="shared" si="3"/>
        <v>0</v>
      </c>
      <c r="AI20" s="23">
        <f>SUM(AI6:AI19)</f>
        <v>0</v>
      </c>
      <c r="AJ20" s="23">
        <f>SUM(AJ6:AJ19)</f>
        <v>0</v>
      </c>
      <c r="AK20" s="100">
        <f>SUM(AK6:AK19)</f>
        <v>0</v>
      </c>
      <c r="AL20" s="101">
        <f>SUM(AL6:AL19)</f>
        <v>0</v>
      </c>
      <c r="AM20" s="101">
        <f t="shared" ref="AM20:AU20" si="4">SUM(AM6:AM19)</f>
        <v>0</v>
      </c>
      <c r="AN20" s="101">
        <f t="shared" si="4"/>
        <v>0</v>
      </c>
      <c r="AO20" s="101">
        <f t="shared" si="4"/>
        <v>0</v>
      </c>
      <c r="AP20" s="101">
        <f t="shared" si="4"/>
        <v>0</v>
      </c>
      <c r="AQ20" s="101">
        <f t="shared" si="4"/>
        <v>0</v>
      </c>
      <c r="AR20" s="101">
        <f t="shared" si="4"/>
        <v>0</v>
      </c>
      <c r="AS20" s="101">
        <f t="shared" si="4"/>
        <v>0</v>
      </c>
      <c r="AT20" s="101">
        <f t="shared" si="4"/>
        <v>0</v>
      </c>
      <c r="AU20" s="102">
        <f t="shared" si="4"/>
        <v>0</v>
      </c>
    </row>
    <row r="21" spans="2:47" s="38" customFormat="1" ht="20.100000000000001" customHeight="1" x14ac:dyDescent="0.2">
      <c r="B21" s="141"/>
      <c r="C21" s="142"/>
      <c r="D21" s="145"/>
      <c r="E21" s="147"/>
      <c r="F21" s="126"/>
      <c r="G21" s="126"/>
      <c r="H21" s="46">
        <f>$E6*H6+$E7*H7+$E8*H8+$E9*H9+$E10*H10+$E11*H11+$E12*H12+$E14*H14+$E15*H15+$E16*H16+$E17*H17+$E18*H18+$E19*H19+$E13*H13</f>
        <v>7000</v>
      </c>
      <c r="I21" s="28">
        <f t="shared" ref="I21:AK21" si="5">$E6*I6+$E7*I7+$E8*I8+$E9*I9+$E10*I10+$E11*I11+$E12*I12+$E14*I14+$E15*I15+$E16*I16+$E17*I17+$E18*I18+$E19*I19+$E13*I13</f>
        <v>5000</v>
      </c>
      <c r="J21" s="28">
        <f t="shared" si="5"/>
        <v>6000</v>
      </c>
      <c r="K21" s="28">
        <f t="shared" si="5"/>
        <v>5500</v>
      </c>
      <c r="L21" s="28">
        <f t="shared" si="5"/>
        <v>6000</v>
      </c>
      <c r="M21" s="28">
        <f t="shared" si="5"/>
        <v>11000</v>
      </c>
      <c r="N21" s="28">
        <f t="shared" si="5"/>
        <v>9500</v>
      </c>
      <c r="O21" s="28">
        <f t="shared" si="5"/>
        <v>11000</v>
      </c>
      <c r="P21" s="28">
        <f t="shared" si="5"/>
        <v>5500</v>
      </c>
      <c r="Q21" s="28">
        <f t="shared" si="5"/>
        <v>4000</v>
      </c>
      <c r="R21" s="28">
        <f t="shared" si="5"/>
        <v>25500</v>
      </c>
      <c r="S21" s="28">
        <f t="shared" si="5"/>
        <v>6000</v>
      </c>
      <c r="T21" s="28">
        <f t="shared" si="5"/>
        <v>11000</v>
      </c>
      <c r="U21" s="28">
        <f t="shared" si="5"/>
        <v>6500</v>
      </c>
      <c r="V21" s="28">
        <f t="shared" si="5"/>
        <v>6500</v>
      </c>
      <c r="W21" s="28">
        <f t="shared" si="5"/>
        <v>15000</v>
      </c>
      <c r="X21" s="28">
        <f t="shared" si="5"/>
        <v>11000</v>
      </c>
      <c r="Y21" s="28">
        <f t="shared" si="5"/>
        <v>17000</v>
      </c>
      <c r="Z21" s="28">
        <f t="shared" si="5"/>
        <v>15000</v>
      </c>
      <c r="AA21" s="28">
        <f t="shared" si="5"/>
        <v>20000</v>
      </c>
      <c r="AB21" s="28">
        <f t="shared" si="5"/>
        <v>5000</v>
      </c>
      <c r="AC21" s="28">
        <f t="shared" si="5"/>
        <v>13500</v>
      </c>
      <c r="AD21" s="28">
        <f t="shared" si="5"/>
        <v>6000</v>
      </c>
      <c r="AE21" s="28">
        <f t="shared" si="5"/>
        <v>0</v>
      </c>
      <c r="AF21" s="28">
        <f t="shared" si="5"/>
        <v>0</v>
      </c>
      <c r="AG21" s="28">
        <f t="shared" si="5"/>
        <v>0</v>
      </c>
      <c r="AH21" s="28">
        <f t="shared" si="5"/>
        <v>0</v>
      </c>
      <c r="AI21" s="28">
        <f t="shared" si="5"/>
        <v>0</v>
      </c>
      <c r="AJ21" s="28">
        <f t="shared" si="5"/>
        <v>0</v>
      </c>
      <c r="AK21" s="74">
        <f t="shared" si="5"/>
        <v>0</v>
      </c>
      <c r="AL21" s="28">
        <f>$E6*AL6+$E7*AL7+$E8*AL8+$E9*AL9+$E10*AL10+$E11*AL11+$E12*AL12+$E14*AL14+$E15*AL15+$E16*AL16+$E17*AL17+$E18*AL18+$E19*AL19+$E13*AL13</f>
        <v>0</v>
      </c>
      <c r="AM21" s="28">
        <f>$E6*AM6+$E7*AM7+$E8*AM8+$E9*AM9+$E10*AM10+$E11*AM11+$E12*AM12+$E14*AM14+$E15*AM15+$E16*AM16+$E17*AM17+$E18*AM18+$E19*AM19+$E13*AM13</f>
        <v>0</v>
      </c>
      <c r="AN21" s="28">
        <f>$E6*AN6+$E7*AN7+$E8*AN8+$E9*AN9+$E10*AN10+$E11*AN11+$E12*AN12+$E14*AN14+$E15*AN15+$E16*AN16+$E17*AN17+$E18*AN18+$E19*AN19+$E13*AN13</f>
        <v>0</v>
      </c>
      <c r="AO21" s="28">
        <f t="shared" ref="AO21:AU21" si="6">$E6*AO6+$E7*AO7+$E8*AO8+$E9*AO9+$E10*AO10+$E11*AO11+$E12*AO12+$E14*AO14+$E15*AO15+$E16*AO16+$E17*AO17+$E18*AO18+$E19*AO19+$E13*AO13</f>
        <v>0</v>
      </c>
      <c r="AP21" s="28">
        <f t="shared" si="6"/>
        <v>0</v>
      </c>
      <c r="AQ21" s="28">
        <f t="shared" si="6"/>
        <v>0</v>
      </c>
      <c r="AR21" s="28">
        <f t="shared" si="6"/>
        <v>0</v>
      </c>
      <c r="AS21" s="28">
        <f t="shared" si="6"/>
        <v>0</v>
      </c>
      <c r="AT21" s="28">
        <f t="shared" si="6"/>
        <v>0</v>
      </c>
      <c r="AU21" s="29">
        <f t="shared" si="6"/>
        <v>0</v>
      </c>
    </row>
  </sheetData>
  <sheetProtection password="CC67" sheet="1" objects="1" scenarios="1"/>
  <mergeCells count="10">
    <mergeCell ref="B20:D21"/>
    <mergeCell ref="E20:E21"/>
    <mergeCell ref="F20:F21"/>
    <mergeCell ref="G20:G21"/>
    <mergeCell ref="B2:G2"/>
    <mergeCell ref="B4:B5"/>
    <mergeCell ref="C4:C5"/>
    <mergeCell ref="D4:D5"/>
    <mergeCell ref="E4:E5"/>
    <mergeCell ref="F4:F5"/>
  </mergeCells>
  <phoneticPr fontId="2" type="noConversion"/>
  <pageMargins left="0.7" right="0.7" top="0.75" bottom="0.75" header="0.3" footer="0.3"/>
  <pageSetup paperSize="9" scale="31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B1:AU21"/>
  <sheetViews>
    <sheetView showGridLines="0" zoomScale="85" zoomScaleNormal="85" workbookViewId="0">
      <pane xSplit="7" ySplit="5" topLeftCell="H6" activePane="bottomRight" state="frozen"/>
      <selection pane="topRight" activeCell="G1" sqref="G1"/>
      <selection pane="bottomLeft" activeCell="A6" sqref="A6"/>
      <selection pane="bottomRight" activeCell="C6" sqref="C6:C15"/>
    </sheetView>
  </sheetViews>
  <sheetFormatPr defaultColWidth="9.125" defaultRowHeight="14.25" x14ac:dyDescent="0.2"/>
  <cols>
    <col min="1" max="1" width="0.375" style="1" customWidth="1"/>
    <col min="2" max="2" width="16.875" style="1" bestFit="1" customWidth="1"/>
    <col min="3" max="4" width="13.625" style="1" customWidth="1"/>
    <col min="5" max="5" width="10.625" style="1" hidden="1" customWidth="1"/>
    <col min="6" max="6" width="10.625" style="1" customWidth="1"/>
    <col min="7" max="7" width="10.625" style="3" customWidth="1"/>
    <col min="8" max="22" width="10.625" style="4" customWidth="1"/>
    <col min="23" max="47" width="10.625" style="1" customWidth="1"/>
    <col min="48" max="16384" width="9.125" style="1"/>
  </cols>
  <sheetData>
    <row r="1" spans="2:47" ht="3.75" customHeight="1" x14ac:dyDescent="0.2"/>
    <row r="2" spans="2:47" ht="20.25" x14ac:dyDescent="0.2">
      <c r="B2" s="149" t="s">
        <v>26</v>
      </c>
      <c r="C2" s="149"/>
      <c r="D2" s="149"/>
      <c r="E2" s="149"/>
      <c r="F2" s="149"/>
      <c r="G2" s="149"/>
    </row>
    <row r="3" spans="2:47" ht="4.9000000000000004" customHeight="1" x14ac:dyDescent="0.2"/>
    <row r="4" spans="2:47" s="38" customFormat="1" ht="20.100000000000001" customHeight="1" x14ac:dyDescent="0.2">
      <c r="B4" s="150" t="s">
        <v>3</v>
      </c>
      <c r="C4" s="123" t="s">
        <v>45</v>
      </c>
      <c r="D4" s="153" t="s">
        <v>46</v>
      </c>
      <c r="E4" s="135" t="s">
        <v>4</v>
      </c>
      <c r="F4" s="129" t="s">
        <v>5</v>
      </c>
      <c r="G4" s="32" t="s">
        <v>0</v>
      </c>
      <c r="H4" s="33">
        <v>1</v>
      </c>
      <c r="I4" s="34">
        <v>2</v>
      </c>
      <c r="J4" s="34">
        <v>3</v>
      </c>
      <c r="K4" s="34">
        <v>4</v>
      </c>
      <c r="L4" s="34">
        <v>5</v>
      </c>
      <c r="M4" s="34">
        <v>6</v>
      </c>
      <c r="N4" s="34">
        <v>7</v>
      </c>
      <c r="O4" s="34">
        <v>8</v>
      </c>
      <c r="P4" s="34">
        <v>9</v>
      </c>
      <c r="Q4" s="34">
        <v>10</v>
      </c>
      <c r="R4" s="34">
        <v>11</v>
      </c>
      <c r="S4" s="34">
        <v>12</v>
      </c>
      <c r="T4" s="34">
        <v>13</v>
      </c>
      <c r="U4" s="34">
        <v>14</v>
      </c>
      <c r="V4" s="34">
        <v>15</v>
      </c>
      <c r="W4" s="34">
        <v>16</v>
      </c>
      <c r="X4" s="34">
        <v>17</v>
      </c>
      <c r="Y4" s="33">
        <v>18</v>
      </c>
      <c r="Z4" s="34">
        <v>19</v>
      </c>
      <c r="AA4" s="34">
        <v>20</v>
      </c>
      <c r="AB4" s="34">
        <v>21</v>
      </c>
      <c r="AC4" s="34">
        <v>22</v>
      </c>
      <c r="AD4" s="34">
        <v>23</v>
      </c>
      <c r="AE4" s="34">
        <v>24</v>
      </c>
      <c r="AF4" s="34">
        <v>25</v>
      </c>
      <c r="AG4" s="34">
        <v>26</v>
      </c>
      <c r="AH4" s="34">
        <v>27</v>
      </c>
      <c r="AI4" s="34">
        <v>28</v>
      </c>
      <c r="AJ4" s="34">
        <v>29</v>
      </c>
      <c r="AK4" s="96">
        <v>30</v>
      </c>
      <c r="AL4" s="34">
        <v>31</v>
      </c>
      <c r="AM4" s="34">
        <v>32</v>
      </c>
      <c r="AN4" s="34">
        <v>33</v>
      </c>
      <c r="AO4" s="34">
        <v>34</v>
      </c>
      <c r="AP4" s="34">
        <v>35</v>
      </c>
      <c r="AQ4" s="34">
        <v>36</v>
      </c>
      <c r="AR4" s="34">
        <v>37</v>
      </c>
      <c r="AS4" s="34">
        <v>38</v>
      </c>
      <c r="AT4" s="34">
        <v>39</v>
      </c>
      <c r="AU4" s="35">
        <v>40</v>
      </c>
    </row>
    <row r="5" spans="2:47" s="38" customFormat="1" ht="20.100000000000001" customHeight="1" x14ac:dyDescent="0.2">
      <c r="B5" s="151"/>
      <c r="C5" s="152"/>
      <c r="D5" s="154"/>
      <c r="E5" s="136"/>
      <c r="F5" s="130"/>
      <c r="G5" s="36" t="s">
        <v>1</v>
      </c>
      <c r="H5" s="37">
        <v>1015</v>
      </c>
      <c r="I5" s="37">
        <v>1229</v>
      </c>
      <c r="J5" s="37">
        <v>1627</v>
      </c>
      <c r="K5" s="37">
        <v>1606</v>
      </c>
      <c r="L5" s="37">
        <v>728</v>
      </c>
      <c r="M5" s="37">
        <v>1124</v>
      </c>
      <c r="N5" s="37">
        <v>729</v>
      </c>
      <c r="O5" s="37">
        <v>824</v>
      </c>
      <c r="P5" s="37">
        <v>1614</v>
      </c>
      <c r="Q5" s="37">
        <v>1022</v>
      </c>
      <c r="R5" s="37">
        <v>614</v>
      </c>
      <c r="S5" s="37">
        <v>531</v>
      </c>
      <c r="T5" s="37">
        <v>1022</v>
      </c>
      <c r="U5" s="37">
        <v>1731</v>
      </c>
      <c r="V5" s="37">
        <v>516</v>
      </c>
      <c r="W5" s="37">
        <v>1428</v>
      </c>
      <c r="X5" s="37">
        <v>1102</v>
      </c>
      <c r="Y5" s="37">
        <v>1714</v>
      </c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94"/>
      <c r="AL5" s="7"/>
      <c r="AM5" s="7"/>
      <c r="AN5" s="7"/>
      <c r="AO5" s="7"/>
      <c r="AP5" s="7"/>
      <c r="AQ5" s="7"/>
      <c r="AR5" s="7"/>
      <c r="AS5" s="7"/>
      <c r="AT5" s="7"/>
      <c r="AU5" s="9"/>
    </row>
    <row r="6" spans="2:47" s="38" customFormat="1" ht="30" customHeight="1" x14ac:dyDescent="0.2">
      <c r="B6" s="77" t="s">
        <v>12</v>
      </c>
      <c r="C6" s="62" t="s">
        <v>53</v>
      </c>
      <c r="D6" s="35"/>
      <c r="E6" s="39">
        <v>6000</v>
      </c>
      <c r="F6" s="12">
        <f>E6*G6</f>
        <v>36000</v>
      </c>
      <c r="G6" s="95">
        <f t="shared" ref="G6:G19" si="0">SUM(H6:AU6)</f>
        <v>6</v>
      </c>
      <c r="H6" s="40"/>
      <c r="I6" s="40"/>
      <c r="J6" s="40">
        <v>1</v>
      </c>
      <c r="K6" s="40">
        <v>1</v>
      </c>
      <c r="L6" s="40"/>
      <c r="M6" s="40"/>
      <c r="N6" s="40"/>
      <c r="O6" s="40"/>
      <c r="P6" s="40"/>
      <c r="Q6" s="40"/>
      <c r="R6" s="40">
        <v>1</v>
      </c>
      <c r="S6" s="40">
        <v>1</v>
      </c>
      <c r="T6" s="40">
        <v>1</v>
      </c>
      <c r="U6" s="40"/>
      <c r="V6" s="40"/>
      <c r="W6" s="40"/>
      <c r="X6" s="40"/>
      <c r="Y6" s="40">
        <v>1</v>
      </c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97"/>
      <c r="AL6" s="40"/>
      <c r="AM6" s="40"/>
      <c r="AN6" s="40"/>
      <c r="AO6" s="40"/>
      <c r="AP6" s="40"/>
      <c r="AQ6" s="40"/>
      <c r="AR6" s="40"/>
      <c r="AS6" s="40"/>
      <c r="AT6" s="40"/>
      <c r="AU6" s="41"/>
    </row>
    <row r="7" spans="2:47" s="38" customFormat="1" ht="30" customHeight="1" x14ac:dyDescent="0.2">
      <c r="B7" s="78" t="s">
        <v>13</v>
      </c>
      <c r="C7" s="63" t="s">
        <v>54</v>
      </c>
      <c r="D7" s="64"/>
      <c r="E7" s="42">
        <v>6500</v>
      </c>
      <c r="F7" s="18">
        <f t="shared" ref="F7:F19" si="1">E7*G7</f>
        <v>26000</v>
      </c>
      <c r="G7" s="95">
        <f t="shared" si="0"/>
        <v>4</v>
      </c>
      <c r="H7" s="43"/>
      <c r="I7" s="43">
        <v>1</v>
      </c>
      <c r="J7" s="43"/>
      <c r="K7" s="43"/>
      <c r="L7" s="43"/>
      <c r="M7" s="43"/>
      <c r="N7" s="43"/>
      <c r="O7" s="43"/>
      <c r="P7" s="43"/>
      <c r="Q7" s="43"/>
      <c r="R7" s="43">
        <v>1</v>
      </c>
      <c r="S7" s="43">
        <v>1</v>
      </c>
      <c r="T7" s="43"/>
      <c r="U7" s="43"/>
      <c r="V7" s="43"/>
      <c r="W7" s="43">
        <v>1</v>
      </c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98"/>
      <c r="AL7" s="43"/>
      <c r="AM7" s="43"/>
      <c r="AN7" s="43"/>
      <c r="AO7" s="43"/>
      <c r="AP7" s="43"/>
      <c r="AQ7" s="43"/>
      <c r="AR7" s="43"/>
      <c r="AS7" s="43"/>
      <c r="AT7" s="43"/>
      <c r="AU7" s="44"/>
    </row>
    <row r="8" spans="2:47" s="38" customFormat="1" ht="30" customHeight="1" x14ac:dyDescent="0.2">
      <c r="B8" s="78" t="s">
        <v>14</v>
      </c>
      <c r="C8" s="63" t="s">
        <v>65</v>
      </c>
      <c r="D8" s="64"/>
      <c r="E8" s="42">
        <v>7000</v>
      </c>
      <c r="F8" s="18">
        <f t="shared" si="1"/>
        <v>14000</v>
      </c>
      <c r="G8" s="95">
        <f t="shared" si="0"/>
        <v>2</v>
      </c>
      <c r="H8" s="43"/>
      <c r="I8" s="43"/>
      <c r="J8" s="43">
        <v>1</v>
      </c>
      <c r="K8" s="43"/>
      <c r="L8" s="43"/>
      <c r="M8" s="43"/>
      <c r="N8" s="43"/>
      <c r="O8" s="43"/>
      <c r="P8" s="43"/>
      <c r="Q8" s="43"/>
      <c r="R8" s="43">
        <v>1</v>
      </c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98"/>
      <c r="AL8" s="43"/>
      <c r="AM8" s="43"/>
      <c r="AN8" s="43"/>
      <c r="AO8" s="43"/>
      <c r="AP8" s="43"/>
      <c r="AQ8" s="43"/>
      <c r="AR8" s="43"/>
      <c r="AS8" s="43"/>
      <c r="AT8" s="43"/>
      <c r="AU8" s="44"/>
    </row>
    <row r="9" spans="2:47" s="38" customFormat="1" ht="30" customHeight="1" x14ac:dyDescent="0.2">
      <c r="B9" s="78" t="s">
        <v>15</v>
      </c>
      <c r="C9" s="63" t="s">
        <v>57</v>
      </c>
      <c r="D9" s="64"/>
      <c r="E9" s="42">
        <v>5500</v>
      </c>
      <c r="F9" s="18">
        <f t="shared" si="1"/>
        <v>60500</v>
      </c>
      <c r="G9" s="95">
        <f t="shared" si="0"/>
        <v>11</v>
      </c>
      <c r="H9" s="43">
        <v>2</v>
      </c>
      <c r="I9" s="43">
        <v>1</v>
      </c>
      <c r="J9" s="43"/>
      <c r="K9" s="43"/>
      <c r="L9" s="43">
        <v>2</v>
      </c>
      <c r="M9" s="43"/>
      <c r="N9" s="43">
        <v>1</v>
      </c>
      <c r="O9" s="43">
        <v>1</v>
      </c>
      <c r="P9" s="43">
        <v>1</v>
      </c>
      <c r="Q9" s="43">
        <v>1</v>
      </c>
      <c r="R9" s="43"/>
      <c r="S9" s="43"/>
      <c r="T9" s="43"/>
      <c r="U9" s="43"/>
      <c r="V9" s="43"/>
      <c r="W9" s="43"/>
      <c r="X9" s="43">
        <v>2</v>
      </c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98"/>
      <c r="AL9" s="43"/>
      <c r="AM9" s="43"/>
      <c r="AN9" s="43"/>
      <c r="AO9" s="43"/>
      <c r="AP9" s="43"/>
      <c r="AQ9" s="43"/>
      <c r="AR9" s="43"/>
      <c r="AS9" s="43"/>
      <c r="AT9" s="43"/>
      <c r="AU9" s="44"/>
    </row>
    <row r="10" spans="2:47" s="38" customFormat="1" ht="30" customHeight="1" x14ac:dyDescent="0.2">
      <c r="B10" s="78" t="s">
        <v>16</v>
      </c>
      <c r="C10" s="63" t="s">
        <v>58</v>
      </c>
      <c r="D10" s="64"/>
      <c r="E10" s="42">
        <v>4000</v>
      </c>
      <c r="F10" s="18">
        <f t="shared" si="1"/>
        <v>4000</v>
      </c>
      <c r="G10" s="95">
        <f t="shared" si="0"/>
        <v>1</v>
      </c>
      <c r="H10" s="43"/>
      <c r="I10" s="43"/>
      <c r="J10" s="43"/>
      <c r="K10" s="43"/>
      <c r="L10" s="43"/>
      <c r="M10" s="43">
        <v>1</v>
      </c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98"/>
      <c r="AL10" s="43"/>
      <c r="AM10" s="43"/>
      <c r="AN10" s="43"/>
      <c r="AO10" s="43"/>
      <c r="AP10" s="43"/>
      <c r="AQ10" s="43"/>
      <c r="AR10" s="43"/>
      <c r="AS10" s="43"/>
      <c r="AT10" s="43"/>
      <c r="AU10" s="44"/>
    </row>
    <row r="11" spans="2:47" s="38" customFormat="1" ht="30" customHeight="1" x14ac:dyDescent="0.2">
      <c r="B11" s="78" t="s">
        <v>17</v>
      </c>
      <c r="C11" s="63" t="s">
        <v>59</v>
      </c>
      <c r="D11" s="64"/>
      <c r="E11" s="42">
        <v>4000</v>
      </c>
      <c r="F11" s="18">
        <f t="shared" si="1"/>
        <v>4000</v>
      </c>
      <c r="G11" s="95">
        <f t="shared" si="0"/>
        <v>1</v>
      </c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>
        <v>1</v>
      </c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98"/>
      <c r="AL11" s="43"/>
      <c r="AM11" s="43"/>
      <c r="AN11" s="43"/>
      <c r="AO11" s="43"/>
      <c r="AP11" s="43"/>
      <c r="AQ11" s="43"/>
      <c r="AR11" s="43"/>
      <c r="AS11" s="43"/>
      <c r="AT11" s="43"/>
      <c r="AU11" s="44"/>
    </row>
    <row r="12" spans="2:47" s="38" customFormat="1" ht="30" customHeight="1" x14ac:dyDescent="0.2">
      <c r="B12" s="78" t="s">
        <v>18</v>
      </c>
      <c r="C12" s="63" t="s">
        <v>60</v>
      </c>
      <c r="D12" s="64"/>
      <c r="E12" s="42">
        <v>4000</v>
      </c>
      <c r="F12" s="18">
        <f t="shared" si="1"/>
        <v>8000</v>
      </c>
      <c r="G12" s="95">
        <f t="shared" si="0"/>
        <v>2</v>
      </c>
      <c r="H12" s="43"/>
      <c r="I12" s="43">
        <v>1</v>
      </c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>
        <v>1</v>
      </c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98"/>
      <c r="AL12" s="43"/>
      <c r="AM12" s="43"/>
      <c r="AN12" s="43"/>
      <c r="AO12" s="43"/>
      <c r="AP12" s="43"/>
      <c r="AQ12" s="43"/>
      <c r="AR12" s="43"/>
      <c r="AS12" s="43"/>
      <c r="AT12" s="43"/>
      <c r="AU12" s="44"/>
    </row>
    <row r="13" spans="2:47" s="38" customFormat="1" ht="30" customHeight="1" x14ac:dyDescent="0.2">
      <c r="B13" s="78" t="s">
        <v>19</v>
      </c>
      <c r="C13" s="63" t="s">
        <v>59</v>
      </c>
      <c r="D13" s="64"/>
      <c r="E13" s="42">
        <v>5000</v>
      </c>
      <c r="F13" s="18">
        <f t="shared" si="1"/>
        <v>0</v>
      </c>
      <c r="G13" s="95">
        <f t="shared" si="0"/>
        <v>0</v>
      </c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99"/>
      <c r="AL13" s="43"/>
      <c r="AM13" s="43"/>
      <c r="AN13" s="43"/>
      <c r="AO13" s="43"/>
      <c r="AP13" s="43"/>
      <c r="AQ13" s="43"/>
      <c r="AR13" s="43"/>
      <c r="AS13" s="43"/>
      <c r="AT13" s="43"/>
      <c r="AU13" s="44"/>
    </row>
    <row r="14" spans="2:47" s="38" customFormat="1" ht="30" customHeight="1" x14ac:dyDescent="0.2">
      <c r="B14" s="78" t="s">
        <v>20</v>
      </c>
      <c r="C14" s="63" t="s">
        <v>53</v>
      </c>
      <c r="D14" s="64"/>
      <c r="E14" s="42">
        <v>7000</v>
      </c>
      <c r="F14" s="18">
        <f t="shared" si="1"/>
        <v>7000</v>
      </c>
      <c r="G14" s="95">
        <f t="shared" si="0"/>
        <v>1</v>
      </c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>
        <v>1</v>
      </c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98"/>
      <c r="AL14" s="43"/>
      <c r="AM14" s="43"/>
      <c r="AN14" s="43"/>
      <c r="AO14" s="43"/>
      <c r="AP14" s="43"/>
      <c r="AQ14" s="43"/>
      <c r="AR14" s="43"/>
      <c r="AS14" s="43"/>
      <c r="AT14" s="43"/>
      <c r="AU14" s="44"/>
    </row>
    <row r="15" spans="2:47" s="38" customFormat="1" ht="30" customHeight="1" x14ac:dyDescent="0.2">
      <c r="B15" s="78" t="s">
        <v>21</v>
      </c>
      <c r="C15" s="63" t="s">
        <v>66</v>
      </c>
      <c r="D15" s="64"/>
      <c r="E15" s="42">
        <v>7000</v>
      </c>
      <c r="F15" s="18">
        <f t="shared" si="1"/>
        <v>0</v>
      </c>
      <c r="G15" s="95">
        <f t="shared" si="0"/>
        <v>0</v>
      </c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98"/>
      <c r="AL15" s="43"/>
      <c r="AM15" s="43"/>
      <c r="AN15" s="43"/>
      <c r="AO15" s="43"/>
      <c r="AP15" s="43"/>
      <c r="AQ15" s="43"/>
      <c r="AR15" s="43"/>
      <c r="AS15" s="43"/>
      <c r="AT15" s="43"/>
      <c r="AU15" s="44"/>
    </row>
    <row r="16" spans="2:47" s="38" customFormat="1" ht="30" customHeight="1" x14ac:dyDescent="0.2">
      <c r="B16" s="78" t="s">
        <v>22</v>
      </c>
      <c r="C16" s="63"/>
      <c r="D16" s="64"/>
      <c r="E16" s="42">
        <v>7000</v>
      </c>
      <c r="F16" s="18">
        <f t="shared" si="1"/>
        <v>0</v>
      </c>
      <c r="G16" s="95">
        <f t="shared" si="0"/>
        <v>0</v>
      </c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98"/>
      <c r="AL16" s="43"/>
      <c r="AM16" s="43"/>
      <c r="AN16" s="43"/>
      <c r="AO16" s="43"/>
      <c r="AP16" s="43"/>
      <c r="AQ16" s="43"/>
      <c r="AR16" s="43"/>
      <c r="AS16" s="43"/>
      <c r="AT16" s="43"/>
      <c r="AU16" s="44"/>
    </row>
    <row r="17" spans="2:47" s="38" customFormat="1" ht="30" customHeight="1" x14ac:dyDescent="0.2">
      <c r="B17" s="78" t="s">
        <v>23</v>
      </c>
      <c r="C17" s="63"/>
      <c r="D17" s="64"/>
      <c r="E17" s="42">
        <v>7000</v>
      </c>
      <c r="F17" s="18">
        <f t="shared" si="1"/>
        <v>0</v>
      </c>
      <c r="G17" s="95">
        <f t="shared" si="0"/>
        <v>0</v>
      </c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98"/>
      <c r="AL17" s="43"/>
      <c r="AM17" s="43"/>
      <c r="AN17" s="43"/>
      <c r="AO17" s="43"/>
      <c r="AP17" s="43"/>
      <c r="AQ17" s="43"/>
      <c r="AR17" s="43"/>
      <c r="AS17" s="43"/>
      <c r="AT17" s="43"/>
      <c r="AU17" s="44"/>
    </row>
    <row r="18" spans="2:47" s="38" customFormat="1" ht="30" customHeight="1" x14ac:dyDescent="0.2">
      <c r="B18" s="78" t="s">
        <v>24</v>
      </c>
      <c r="C18" s="63"/>
      <c r="D18" s="64"/>
      <c r="E18" s="42">
        <v>7000</v>
      </c>
      <c r="F18" s="18">
        <f t="shared" si="1"/>
        <v>0</v>
      </c>
      <c r="G18" s="95">
        <f t="shared" si="0"/>
        <v>0</v>
      </c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99"/>
      <c r="AL18" s="43"/>
      <c r="AM18" s="43"/>
      <c r="AN18" s="43"/>
      <c r="AO18" s="43"/>
      <c r="AP18" s="43"/>
      <c r="AQ18" s="43"/>
      <c r="AR18" s="43"/>
      <c r="AS18" s="43"/>
      <c r="AT18" s="43"/>
      <c r="AU18" s="44"/>
    </row>
    <row r="19" spans="2:47" s="38" customFormat="1" ht="30" customHeight="1" x14ac:dyDescent="0.2">
      <c r="B19" s="79" t="s">
        <v>25</v>
      </c>
      <c r="C19" s="65"/>
      <c r="D19" s="9"/>
      <c r="E19" s="61">
        <v>7000</v>
      </c>
      <c r="F19" s="50">
        <f t="shared" si="1"/>
        <v>0</v>
      </c>
      <c r="G19" s="95">
        <f t="shared" si="0"/>
        <v>0</v>
      </c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98"/>
      <c r="AL19" s="45"/>
      <c r="AM19" s="45"/>
      <c r="AN19" s="45"/>
      <c r="AO19" s="45"/>
      <c r="AP19" s="45"/>
      <c r="AQ19" s="45"/>
      <c r="AR19" s="45"/>
      <c r="AS19" s="45"/>
      <c r="AT19" s="45"/>
      <c r="AU19" s="60"/>
    </row>
    <row r="20" spans="2:47" s="38" customFormat="1" ht="20.100000000000001" customHeight="1" x14ac:dyDescent="0.2">
      <c r="B20" s="139" t="s">
        <v>8</v>
      </c>
      <c r="C20" s="140"/>
      <c r="D20" s="144"/>
      <c r="E20" s="146">
        <f>SUM(E6:E8,E10:E15)+E9*2</f>
        <v>61500</v>
      </c>
      <c r="F20" s="125">
        <f t="shared" ref="F20:X20" si="2">SUM(F6:F19)</f>
        <v>159500</v>
      </c>
      <c r="G20" s="125">
        <f t="shared" si="2"/>
        <v>28</v>
      </c>
      <c r="H20" s="23">
        <f t="shared" si="2"/>
        <v>2</v>
      </c>
      <c r="I20" s="23">
        <f t="shared" si="2"/>
        <v>3</v>
      </c>
      <c r="J20" s="23">
        <f t="shared" si="2"/>
        <v>2</v>
      </c>
      <c r="K20" s="23">
        <f t="shared" si="2"/>
        <v>1</v>
      </c>
      <c r="L20" s="23">
        <f t="shared" si="2"/>
        <v>2</v>
      </c>
      <c r="M20" s="23">
        <f t="shared" si="2"/>
        <v>1</v>
      </c>
      <c r="N20" s="23">
        <f t="shared" si="2"/>
        <v>1</v>
      </c>
      <c r="O20" s="23">
        <f t="shared" si="2"/>
        <v>1</v>
      </c>
      <c r="P20" s="23">
        <f t="shared" si="2"/>
        <v>1</v>
      </c>
      <c r="Q20" s="23">
        <f t="shared" si="2"/>
        <v>1</v>
      </c>
      <c r="R20" s="23">
        <f t="shared" si="2"/>
        <v>3</v>
      </c>
      <c r="S20" s="23">
        <f t="shared" si="2"/>
        <v>2</v>
      </c>
      <c r="T20" s="23">
        <f t="shared" si="2"/>
        <v>1</v>
      </c>
      <c r="U20" s="23">
        <f t="shared" si="2"/>
        <v>2</v>
      </c>
      <c r="V20" s="23">
        <f t="shared" si="2"/>
        <v>1</v>
      </c>
      <c r="W20" s="23">
        <f t="shared" si="2"/>
        <v>1</v>
      </c>
      <c r="X20" s="23">
        <f t="shared" si="2"/>
        <v>2</v>
      </c>
      <c r="Y20" s="23">
        <f t="shared" ref="Y20:AH20" si="3">SUM(Y6:Y19)</f>
        <v>1</v>
      </c>
      <c r="Z20" s="23">
        <f t="shared" si="3"/>
        <v>0</v>
      </c>
      <c r="AA20" s="23">
        <f t="shared" si="3"/>
        <v>0</v>
      </c>
      <c r="AB20" s="23">
        <f t="shared" si="3"/>
        <v>0</v>
      </c>
      <c r="AC20" s="23">
        <f t="shared" si="3"/>
        <v>0</v>
      </c>
      <c r="AD20" s="23">
        <f t="shared" si="3"/>
        <v>0</v>
      </c>
      <c r="AE20" s="23">
        <f t="shared" si="3"/>
        <v>0</v>
      </c>
      <c r="AF20" s="23">
        <f t="shared" si="3"/>
        <v>0</v>
      </c>
      <c r="AG20" s="23">
        <f t="shared" si="3"/>
        <v>0</v>
      </c>
      <c r="AH20" s="23">
        <f t="shared" si="3"/>
        <v>0</v>
      </c>
      <c r="AI20" s="23">
        <f>SUM(AI6:AI19)</f>
        <v>0</v>
      </c>
      <c r="AJ20" s="23">
        <f>SUM(AJ6:AJ19)</f>
        <v>0</v>
      </c>
      <c r="AK20" s="100">
        <f>SUM(AK6:AK19)</f>
        <v>0</v>
      </c>
      <c r="AL20" s="101">
        <f>SUM(AL6:AL19)</f>
        <v>0</v>
      </c>
      <c r="AM20" s="101">
        <f t="shared" ref="AM20:AU20" si="4">SUM(AM6:AM19)</f>
        <v>0</v>
      </c>
      <c r="AN20" s="101">
        <f t="shared" si="4"/>
        <v>0</v>
      </c>
      <c r="AO20" s="101">
        <f t="shared" si="4"/>
        <v>0</v>
      </c>
      <c r="AP20" s="101">
        <f t="shared" si="4"/>
        <v>0</v>
      </c>
      <c r="AQ20" s="101">
        <f t="shared" si="4"/>
        <v>0</v>
      </c>
      <c r="AR20" s="101">
        <f t="shared" si="4"/>
        <v>0</v>
      </c>
      <c r="AS20" s="101">
        <f t="shared" si="4"/>
        <v>0</v>
      </c>
      <c r="AT20" s="101">
        <f t="shared" si="4"/>
        <v>0</v>
      </c>
      <c r="AU20" s="102">
        <f t="shared" si="4"/>
        <v>0</v>
      </c>
    </row>
    <row r="21" spans="2:47" s="38" customFormat="1" ht="20.100000000000001" customHeight="1" x14ac:dyDescent="0.2">
      <c r="B21" s="141"/>
      <c r="C21" s="142"/>
      <c r="D21" s="145"/>
      <c r="E21" s="147"/>
      <c r="F21" s="126"/>
      <c r="G21" s="126"/>
      <c r="H21" s="46">
        <f>$E6*H6+$E7*H7+$E8*H8+$E9*H9+$E10*H10+$E11*H11+$E12*H12+$E14*H14+$E15*H15+$E16*H16+$E17*H17+$E18*H18+$E19*H19+$E13*H13</f>
        <v>11000</v>
      </c>
      <c r="I21" s="28">
        <f t="shared" ref="I21:AK21" si="5">$E6*I6+$E7*I7+$E8*I8+$E9*I9+$E10*I10+$E11*I11+$E12*I12+$E14*I14+$E15*I15+$E16*I16+$E17*I17+$E18*I18+$E19*I19+$E13*I13</f>
        <v>16000</v>
      </c>
      <c r="J21" s="28">
        <f t="shared" si="5"/>
        <v>13000</v>
      </c>
      <c r="K21" s="28">
        <f t="shared" si="5"/>
        <v>6000</v>
      </c>
      <c r="L21" s="28">
        <f t="shared" si="5"/>
        <v>11000</v>
      </c>
      <c r="M21" s="28">
        <f t="shared" si="5"/>
        <v>4000</v>
      </c>
      <c r="N21" s="28">
        <f t="shared" si="5"/>
        <v>5500</v>
      </c>
      <c r="O21" s="28">
        <f t="shared" si="5"/>
        <v>5500</v>
      </c>
      <c r="P21" s="28">
        <f t="shared" si="5"/>
        <v>5500</v>
      </c>
      <c r="Q21" s="28">
        <f t="shared" si="5"/>
        <v>5500</v>
      </c>
      <c r="R21" s="28">
        <f t="shared" si="5"/>
        <v>19500</v>
      </c>
      <c r="S21" s="28">
        <f t="shared" si="5"/>
        <v>12500</v>
      </c>
      <c r="T21" s="28">
        <f t="shared" si="5"/>
        <v>6000</v>
      </c>
      <c r="U21" s="28">
        <f t="shared" si="5"/>
        <v>8000</v>
      </c>
      <c r="V21" s="28">
        <f t="shared" si="5"/>
        <v>7000</v>
      </c>
      <c r="W21" s="28">
        <f t="shared" si="5"/>
        <v>6500</v>
      </c>
      <c r="X21" s="28">
        <f t="shared" si="5"/>
        <v>11000</v>
      </c>
      <c r="Y21" s="28">
        <f t="shared" si="5"/>
        <v>6000</v>
      </c>
      <c r="Z21" s="28">
        <f t="shared" si="5"/>
        <v>0</v>
      </c>
      <c r="AA21" s="28">
        <f t="shared" si="5"/>
        <v>0</v>
      </c>
      <c r="AB21" s="28">
        <f t="shared" si="5"/>
        <v>0</v>
      </c>
      <c r="AC21" s="28">
        <f t="shared" si="5"/>
        <v>0</v>
      </c>
      <c r="AD21" s="28">
        <f t="shared" si="5"/>
        <v>0</v>
      </c>
      <c r="AE21" s="28">
        <f t="shared" si="5"/>
        <v>0</v>
      </c>
      <c r="AF21" s="28">
        <f t="shared" si="5"/>
        <v>0</v>
      </c>
      <c r="AG21" s="28">
        <f t="shared" si="5"/>
        <v>0</v>
      </c>
      <c r="AH21" s="28">
        <f t="shared" si="5"/>
        <v>0</v>
      </c>
      <c r="AI21" s="28">
        <f t="shared" si="5"/>
        <v>0</v>
      </c>
      <c r="AJ21" s="28">
        <f t="shared" si="5"/>
        <v>0</v>
      </c>
      <c r="AK21" s="74">
        <f t="shared" si="5"/>
        <v>0</v>
      </c>
      <c r="AL21" s="28">
        <f>$E6*AL6+$E7*AL7+$E8*AL8+$E9*AL9+$E10*AL10+$E11*AL11+$E12*AL12+$E14*AL14+$E15*AL15+$E16*AL16+$E17*AL17+$E18*AL18+$E19*AL19+$E13*AL13</f>
        <v>0</v>
      </c>
      <c r="AM21" s="28">
        <f>$E6*AM6+$E7*AM7+$E8*AM8+$E9*AM9+$E10*AM10+$E11*AM11+$E12*AM12+$E14*AM14+$E15*AM15+$E16*AM16+$E17*AM17+$E18*AM18+$E19*AM19+$E13*AM13</f>
        <v>0</v>
      </c>
      <c r="AN21" s="28">
        <f>$E6*AN6+$E7*AN7+$E8*AN8+$E9*AN9+$E10*AN10+$E11*AN11+$E12*AN12+$E14*AN14+$E15*AN15+$E16*AN16+$E17*AN17+$E18*AN18+$E19*AN19+$E13*AN13</f>
        <v>0</v>
      </c>
      <c r="AO21" s="28">
        <f t="shared" ref="AO21:AU21" si="6">$E6*AO6+$E7*AO7+$E8*AO8+$E9*AO9+$E10*AO10+$E11*AO11+$E12*AO12+$E14*AO14+$E15*AO15+$E16*AO16+$E17*AO17+$E18*AO18+$E19*AO19+$E13*AO13</f>
        <v>0</v>
      </c>
      <c r="AP21" s="28">
        <f t="shared" si="6"/>
        <v>0</v>
      </c>
      <c r="AQ21" s="28">
        <f t="shared" si="6"/>
        <v>0</v>
      </c>
      <c r="AR21" s="28">
        <f t="shared" si="6"/>
        <v>0</v>
      </c>
      <c r="AS21" s="28">
        <f t="shared" si="6"/>
        <v>0</v>
      </c>
      <c r="AT21" s="28">
        <f t="shared" si="6"/>
        <v>0</v>
      </c>
      <c r="AU21" s="29">
        <f t="shared" si="6"/>
        <v>0</v>
      </c>
    </row>
  </sheetData>
  <sheetProtection password="CC67" sheet="1" objects="1" scenarios="1"/>
  <mergeCells count="10">
    <mergeCell ref="B20:D21"/>
    <mergeCell ref="E20:E21"/>
    <mergeCell ref="F20:F21"/>
    <mergeCell ref="G20:G21"/>
    <mergeCell ref="B2:G2"/>
    <mergeCell ref="B4:B5"/>
    <mergeCell ref="C4:C5"/>
    <mergeCell ref="D4:D5"/>
    <mergeCell ref="E4:E5"/>
    <mergeCell ref="F4:F5"/>
  </mergeCells>
  <phoneticPr fontId="2" type="noConversion"/>
  <pageMargins left="0.7" right="0.7" top="0.75" bottom="0.75" header="0.3" footer="0.3"/>
  <pageSetup paperSize="9" scale="31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B1:AU21"/>
  <sheetViews>
    <sheetView showGridLines="0" zoomScale="85" zoomScaleNormal="85" workbookViewId="0">
      <pane xSplit="7" ySplit="5" topLeftCell="T6" activePane="bottomRight" state="frozen"/>
      <selection pane="topRight" activeCell="G1" sqref="G1"/>
      <selection pane="bottomLeft" activeCell="A6" sqref="A6"/>
      <selection pane="bottomRight" activeCell="C6" sqref="C6:C15"/>
    </sheetView>
  </sheetViews>
  <sheetFormatPr defaultColWidth="9.125" defaultRowHeight="14.25" x14ac:dyDescent="0.2"/>
  <cols>
    <col min="1" max="1" width="0.375" style="1" customWidth="1"/>
    <col min="2" max="2" width="16.875" style="1" bestFit="1" customWidth="1"/>
    <col min="3" max="4" width="13.625" style="1" customWidth="1"/>
    <col min="5" max="5" width="10.625" style="1" hidden="1" customWidth="1"/>
    <col min="6" max="6" width="10.625" style="1" customWidth="1"/>
    <col min="7" max="7" width="10.625" style="3" customWidth="1"/>
    <col min="8" max="22" width="10.625" style="4" customWidth="1"/>
    <col min="23" max="47" width="10.625" style="1" customWidth="1"/>
    <col min="48" max="16384" width="9.125" style="1"/>
  </cols>
  <sheetData>
    <row r="1" spans="2:47" ht="3.75" customHeight="1" x14ac:dyDescent="0.2"/>
    <row r="2" spans="2:47" ht="20.25" x14ac:dyDescent="0.2">
      <c r="B2" s="149" t="s">
        <v>26</v>
      </c>
      <c r="C2" s="149"/>
      <c r="D2" s="149"/>
      <c r="E2" s="149"/>
      <c r="F2" s="149"/>
      <c r="G2" s="149"/>
    </row>
    <row r="3" spans="2:47" ht="4.9000000000000004" customHeight="1" x14ac:dyDescent="0.2"/>
    <row r="4" spans="2:47" s="38" customFormat="1" ht="20.100000000000001" customHeight="1" x14ac:dyDescent="0.2">
      <c r="B4" s="150" t="s">
        <v>3</v>
      </c>
      <c r="C4" s="123" t="s">
        <v>45</v>
      </c>
      <c r="D4" s="153" t="s">
        <v>46</v>
      </c>
      <c r="E4" s="135" t="s">
        <v>4</v>
      </c>
      <c r="F4" s="129" t="s">
        <v>5</v>
      </c>
      <c r="G4" s="32" t="s">
        <v>0</v>
      </c>
      <c r="H4" s="33">
        <v>1</v>
      </c>
      <c r="I4" s="34">
        <v>2</v>
      </c>
      <c r="J4" s="34">
        <v>3</v>
      </c>
      <c r="K4" s="34">
        <v>4</v>
      </c>
      <c r="L4" s="34">
        <v>5</v>
      </c>
      <c r="M4" s="34">
        <v>6</v>
      </c>
      <c r="N4" s="34">
        <v>7</v>
      </c>
      <c r="O4" s="34">
        <v>8</v>
      </c>
      <c r="P4" s="34">
        <v>9</v>
      </c>
      <c r="Q4" s="34">
        <v>10</v>
      </c>
      <c r="R4" s="34">
        <v>11</v>
      </c>
      <c r="S4" s="34">
        <v>12</v>
      </c>
      <c r="T4" s="34">
        <v>13</v>
      </c>
      <c r="U4" s="34">
        <v>14</v>
      </c>
      <c r="V4" s="34">
        <v>15</v>
      </c>
      <c r="W4" s="34">
        <v>16</v>
      </c>
      <c r="X4" s="34">
        <v>17</v>
      </c>
      <c r="Y4" s="33">
        <v>18</v>
      </c>
      <c r="Z4" s="34">
        <v>19</v>
      </c>
      <c r="AA4" s="34">
        <v>20</v>
      </c>
      <c r="AB4" s="34">
        <v>21</v>
      </c>
      <c r="AC4" s="34">
        <v>22</v>
      </c>
      <c r="AD4" s="34">
        <v>23</v>
      </c>
      <c r="AE4" s="34">
        <v>24</v>
      </c>
      <c r="AF4" s="34">
        <v>25</v>
      </c>
      <c r="AG4" s="34">
        <v>26</v>
      </c>
      <c r="AH4" s="34">
        <v>27</v>
      </c>
      <c r="AI4" s="34">
        <v>28</v>
      </c>
      <c r="AJ4" s="34">
        <v>29</v>
      </c>
      <c r="AK4" s="96">
        <v>30</v>
      </c>
      <c r="AL4" s="34">
        <v>31</v>
      </c>
      <c r="AM4" s="34">
        <v>32</v>
      </c>
      <c r="AN4" s="34">
        <v>33</v>
      </c>
      <c r="AO4" s="34">
        <v>34</v>
      </c>
      <c r="AP4" s="34">
        <v>35</v>
      </c>
      <c r="AQ4" s="34">
        <v>36</v>
      </c>
      <c r="AR4" s="34">
        <v>37</v>
      </c>
      <c r="AS4" s="34">
        <v>38</v>
      </c>
      <c r="AT4" s="34">
        <v>39</v>
      </c>
      <c r="AU4" s="35">
        <v>40</v>
      </c>
    </row>
    <row r="5" spans="2:47" s="38" customFormat="1" ht="20.100000000000001" customHeight="1" x14ac:dyDescent="0.2">
      <c r="B5" s="151"/>
      <c r="C5" s="152"/>
      <c r="D5" s="154"/>
      <c r="E5" s="136"/>
      <c r="F5" s="130"/>
      <c r="G5" s="36" t="s">
        <v>1</v>
      </c>
      <c r="H5" s="37">
        <v>1614</v>
      </c>
      <c r="I5" s="37">
        <v>1419</v>
      </c>
      <c r="J5" s="37">
        <v>731</v>
      </c>
      <c r="K5" s="37">
        <v>1121</v>
      </c>
      <c r="L5" s="37">
        <v>929</v>
      </c>
      <c r="M5" s="37">
        <v>1619</v>
      </c>
      <c r="N5" s="37">
        <v>1215</v>
      </c>
      <c r="O5" s="37">
        <v>1731</v>
      </c>
      <c r="P5" s="37">
        <v>1114</v>
      </c>
      <c r="Q5" s="37">
        <v>729</v>
      </c>
      <c r="R5" s="37">
        <v>531</v>
      </c>
      <c r="S5" s="37">
        <v>1224</v>
      </c>
      <c r="T5" s="37">
        <v>614</v>
      </c>
      <c r="U5" s="37">
        <v>725</v>
      </c>
      <c r="V5" s="37">
        <v>719</v>
      </c>
      <c r="W5" s="37">
        <v>925</v>
      </c>
      <c r="X5" s="37">
        <v>1809</v>
      </c>
      <c r="Y5" s="37">
        <v>1025</v>
      </c>
      <c r="Z5" s="37">
        <v>618</v>
      </c>
      <c r="AA5" s="37">
        <v>1205</v>
      </c>
      <c r="AB5" s="37">
        <v>505</v>
      </c>
      <c r="AC5" s="37">
        <v>917</v>
      </c>
      <c r="AD5" s="37">
        <v>611</v>
      </c>
      <c r="AE5" s="37">
        <v>1528</v>
      </c>
      <c r="AF5" s="37">
        <v>1417</v>
      </c>
      <c r="AG5" s="37">
        <v>824</v>
      </c>
      <c r="AH5" s="37">
        <v>1131</v>
      </c>
      <c r="AI5" s="37">
        <v>1015</v>
      </c>
      <c r="AJ5" s="37">
        <v>1505</v>
      </c>
      <c r="AK5" s="94">
        <v>1203</v>
      </c>
      <c r="AL5" s="7">
        <v>1520</v>
      </c>
      <c r="AM5" s="7"/>
      <c r="AN5" s="7"/>
      <c r="AO5" s="7"/>
      <c r="AP5" s="7"/>
      <c r="AQ5" s="7"/>
      <c r="AR5" s="7"/>
      <c r="AS5" s="7"/>
      <c r="AT5" s="7"/>
      <c r="AU5" s="9"/>
    </row>
    <row r="6" spans="2:47" s="38" customFormat="1" ht="30" customHeight="1" x14ac:dyDescent="0.2">
      <c r="B6" s="77" t="s">
        <v>12</v>
      </c>
      <c r="C6" s="62" t="s">
        <v>53</v>
      </c>
      <c r="D6" s="35"/>
      <c r="E6" s="39">
        <v>6000</v>
      </c>
      <c r="F6" s="12">
        <f>E6*G6</f>
        <v>54000</v>
      </c>
      <c r="G6" s="95">
        <f t="shared" ref="G6:G19" si="0">SUM(H6:AU6)</f>
        <v>9</v>
      </c>
      <c r="H6" s="40">
        <v>1</v>
      </c>
      <c r="I6" s="40"/>
      <c r="J6" s="40"/>
      <c r="K6" s="40">
        <v>1</v>
      </c>
      <c r="L6" s="40"/>
      <c r="M6" s="40"/>
      <c r="N6" s="40"/>
      <c r="O6" s="40"/>
      <c r="P6" s="40"/>
      <c r="Q6" s="40"/>
      <c r="R6" s="40">
        <v>1</v>
      </c>
      <c r="S6" s="40">
        <v>1</v>
      </c>
      <c r="T6" s="40">
        <v>1</v>
      </c>
      <c r="U6" s="40"/>
      <c r="V6" s="40"/>
      <c r="W6" s="40">
        <v>1</v>
      </c>
      <c r="X6" s="40"/>
      <c r="Y6" s="40">
        <v>1</v>
      </c>
      <c r="Z6" s="40">
        <v>1</v>
      </c>
      <c r="AA6" s="40"/>
      <c r="AB6" s="40">
        <v>1</v>
      </c>
      <c r="AC6" s="40"/>
      <c r="AD6" s="40"/>
      <c r="AE6" s="40"/>
      <c r="AF6" s="40"/>
      <c r="AG6" s="40"/>
      <c r="AH6" s="40"/>
      <c r="AI6" s="40"/>
      <c r="AJ6" s="40"/>
      <c r="AK6" s="97"/>
      <c r="AL6" s="40"/>
      <c r="AM6" s="40"/>
      <c r="AN6" s="40"/>
      <c r="AO6" s="40"/>
      <c r="AP6" s="40"/>
      <c r="AQ6" s="40"/>
      <c r="AR6" s="40"/>
      <c r="AS6" s="40"/>
      <c r="AT6" s="40"/>
      <c r="AU6" s="41"/>
    </row>
    <row r="7" spans="2:47" s="38" customFormat="1" ht="30" customHeight="1" x14ac:dyDescent="0.2">
      <c r="B7" s="78" t="s">
        <v>13</v>
      </c>
      <c r="C7" s="63" t="s">
        <v>54</v>
      </c>
      <c r="D7" s="64"/>
      <c r="E7" s="42">
        <v>6500</v>
      </c>
      <c r="F7" s="18">
        <f t="shared" ref="F7:F19" si="1">E7*G7</f>
        <v>45500</v>
      </c>
      <c r="G7" s="95">
        <f t="shared" si="0"/>
        <v>7</v>
      </c>
      <c r="H7" s="43">
        <v>1</v>
      </c>
      <c r="I7" s="43"/>
      <c r="J7" s="43"/>
      <c r="K7" s="43"/>
      <c r="L7" s="43"/>
      <c r="M7" s="43">
        <v>1</v>
      </c>
      <c r="N7" s="43"/>
      <c r="O7" s="43">
        <v>1</v>
      </c>
      <c r="P7" s="43">
        <v>1</v>
      </c>
      <c r="Q7" s="43"/>
      <c r="R7" s="43"/>
      <c r="S7" s="43"/>
      <c r="T7" s="43">
        <v>1</v>
      </c>
      <c r="U7" s="43"/>
      <c r="V7" s="43"/>
      <c r="W7" s="43"/>
      <c r="X7" s="43"/>
      <c r="Y7" s="43"/>
      <c r="Z7" s="43">
        <v>1</v>
      </c>
      <c r="AA7" s="43"/>
      <c r="AB7" s="43"/>
      <c r="AC7" s="43"/>
      <c r="AD7" s="43"/>
      <c r="AE7" s="43">
        <v>1</v>
      </c>
      <c r="AF7" s="43"/>
      <c r="AG7" s="43"/>
      <c r="AH7" s="43"/>
      <c r="AI7" s="43"/>
      <c r="AJ7" s="43"/>
      <c r="AK7" s="98"/>
      <c r="AL7" s="43"/>
      <c r="AM7" s="43"/>
      <c r="AN7" s="43"/>
      <c r="AO7" s="43"/>
      <c r="AP7" s="43"/>
      <c r="AQ7" s="43"/>
      <c r="AR7" s="43"/>
      <c r="AS7" s="43"/>
      <c r="AT7" s="43"/>
      <c r="AU7" s="44"/>
    </row>
    <row r="8" spans="2:47" s="38" customFormat="1" ht="30" customHeight="1" x14ac:dyDescent="0.2">
      <c r="B8" s="78" t="s">
        <v>14</v>
      </c>
      <c r="C8" s="63" t="s">
        <v>65</v>
      </c>
      <c r="D8" s="64"/>
      <c r="E8" s="42">
        <v>7000</v>
      </c>
      <c r="F8" s="18">
        <f t="shared" si="1"/>
        <v>28000</v>
      </c>
      <c r="G8" s="95">
        <f t="shared" si="0"/>
        <v>4</v>
      </c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>
        <v>1</v>
      </c>
      <c r="Z8" s="43">
        <v>1</v>
      </c>
      <c r="AA8" s="43"/>
      <c r="AB8" s="43">
        <v>1</v>
      </c>
      <c r="AC8" s="43"/>
      <c r="AD8" s="43"/>
      <c r="AE8" s="43"/>
      <c r="AF8" s="43"/>
      <c r="AG8" s="43">
        <v>1</v>
      </c>
      <c r="AH8" s="43"/>
      <c r="AI8" s="43"/>
      <c r="AJ8" s="43"/>
      <c r="AK8" s="98"/>
      <c r="AL8" s="43"/>
      <c r="AM8" s="43"/>
      <c r="AN8" s="43"/>
      <c r="AO8" s="43"/>
      <c r="AP8" s="43"/>
      <c r="AQ8" s="43"/>
      <c r="AR8" s="43"/>
      <c r="AS8" s="43"/>
      <c r="AT8" s="43"/>
      <c r="AU8" s="44"/>
    </row>
    <row r="9" spans="2:47" s="38" customFormat="1" ht="30" customHeight="1" x14ac:dyDescent="0.2">
      <c r="B9" s="78" t="s">
        <v>15</v>
      </c>
      <c r="C9" s="63" t="s">
        <v>57</v>
      </c>
      <c r="D9" s="64"/>
      <c r="E9" s="42">
        <v>5500</v>
      </c>
      <c r="F9" s="18">
        <f t="shared" si="1"/>
        <v>88000</v>
      </c>
      <c r="G9" s="95">
        <f t="shared" si="0"/>
        <v>16</v>
      </c>
      <c r="H9" s="43"/>
      <c r="I9" s="43">
        <v>1</v>
      </c>
      <c r="J9" s="43">
        <v>1</v>
      </c>
      <c r="K9" s="43">
        <v>1</v>
      </c>
      <c r="L9" s="43"/>
      <c r="M9" s="43">
        <v>1</v>
      </c>
      <c r="N9" s="43"/>
      <c r="O9" s="43"/>
      <c r="P9" s="43"/>
      <c r="Q9" s="43">
        <v>1</v>
      </c>
      <c r="R9" s="43"/>
      <c r="S9" s="43"/>
      <c r="T9" s="43"/>
      <c r="U9" s="43"/>
      <c r="V9" s="43"/>
      <c r="W9" s="43"/>
      <c r="X9" s="43">
        <v>2</v>
      </c>
      <c r="Y9" s="43">
        <v>2</v>
      </c>
      <c r="Z9" s="43"/>
      <c r="AA9" s="43"/>
      <c r="AB9" s="43"/>
      <c r="AC9" s="43"/>
      <c r="AD9" s="43">
        <v>1</v>
      </c>
      <c r="AE9" s="43"/>
      <c r="AF9" s="43"/>
      <c r="AG9" s="43">
        <v>2</v>
      </c>
      <c r="AH9" s="43">
        <v>1</v>
      </c>
      <c r="AI9" s="43">
        <v>1</v>
      </c>
      <c r="AJ9" s="43"/>
      <c r="AK9" s="98">
        <v>1</v>
      </c>
      <c r="AL9" s="43">
        <v>1</v>
      </c>
      <c r="AM9" s="43"/>
      <c r="AN9" s="43"/>
      <c r="AO9" s="43"/>
      <c r="AP9" s="43"/>
      <c r="AQ9" s="43"/>
      <c r="AR9" s="43"/>
      <c r="AS9" s="43"/>
      <c r="AT9" s="43"/>
      <c r="AU9" s="44"/>
    </row>
    <row r="10" spans="2:47" s="38" customFormat="1" ht="30" customHeight="1" x14ac:dyDescent="0.2">
      <c r="B10" s="78" t="s">
        <v>16</v>
      </c>
      <c r="C10" s="63" t="s">
        <v>58</v>
      </c>
      <c r="D10" s="64"/>
      <c r="E10" s="42">
        <v>4000</v>
      </c>
      <c r="F10" s="18">
        <f t="shared" si="1"/>
        <v>4000</v>
      </c>
      <c r="G10" s="95">
        <f t="shared" si="0"/>
        <v>1</v>
      </c>
      <c r="H10" s="43"/>
      <c r="I10" s="43"/>
      <c r="J10" s="43"/>
      <c r="K10" s="43"/>
      <c r="L10" s="43">
        <v>1</v>
      </c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98"/>
      <c r="AL10" s="43"/>
      <c r="AM10" s="43"/>
      <c r="AN10" s="43"/>
      <c r="AO10" s="43"/>
      <c r="AP10" s="43"/>
      <c r="AQ10" s="43"/>
      <c r="AR10" s="43"/>
      <c r="AS10" s="43"/>
      <c r="AT10" s="43"/>
      <c r="AU10" s="44"/>
    </row>
    <row r="11" spans="2:47" s="38" customFormat="1" ht="30" customHeight="1" x14ac:dyDescent="0.2">
      <c r="B11" s="78" t="s">
        <v>17</v>
      </c>
      <c r="C11" s="63" t="s">
        <v>59</v>
      </c>
      <c r="D11" s="64"/>
      <c r="E11" s="42">
        <v>4000</v>
      </c>
      <c r="F11" s="18">
        <f t="shared" si="1"/>
        <v>12000</v>
      </c>
      <c r="G11" s="95">
        <f t="shared" si="0"/>
        <v>3</v>
      </c>
      <c r="H11" s="43"/>
      <c r="I11" s="43"/>
      <c r="J11" s="43"/>
      <c r="K11" s="43"/>
      <c r="L11" s="43"/>
      <c r="M11" s="43"/>
      <c r="N11" s="43">
        <v>1</v>
      </c>
      <c r="O11" s="43">
        <v>1</v>
      </c>
      <c r="P11" s="43"/>
      <c r="Q11" s="43"/>
      <c r="R11" s="43"/>
      <c r="S11" s="43"/>
      <c r="T11" s="43"/>
      <c r="U11" s="43"/>
      <c r="V11" s="43"/>
      <c r="W11" s="43"/>
      <c r="X11" s="43"/>
      <c r="Y11" s="43">
        <v>1</v>
      </c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98"/>
      <c r="AL11" s="43"/>
      <c r="AM11" s="43"/>
      <c r="AN11" s="43"/>
      <c r="AO11" s="43"/>
      <c r="AP11" s="43"/>
      <c r="AQ11" s="43"/>
      <c r="AR11" s="43"/>
      <c r="AS11" s="43"/>
      <c r="AT11" s="43"/>
      <c r="AU11" s="44"/>
    </row>
    <row r="12" spans="2:47" s="38" customFormat="1" ht="30" customHeight="1" x14ac:dyDescent="0.2">
      <c r="B12" s="78" t="s">
        <v>18</v>
      </c>
      <c r="C12" s="63" t="s">
        <v>60</v>
      </c>
      <c r="D12" s="64"/>
      <c r="E12" s="42">
        <v>4000</v>
      </c>
      <c r="F12" s="18">
        <f t="shared" si="1"/>
        <v>4000</v>
      </c>
      <c r="G12" s="95">
        <f t="shared" si="0"/>
        <v>1</v>
      </c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>
        <v>1</v>
      </c>
      <c r="AD12" s="43"/>
      <c r="AE12" s="43"/>
      <c r="AF12" s="43"/>
      <c r="AG12" s="43"/>
      <c r="AH12" s="43"/>
      <c r="AI12" s="43"/>
      <c r="AJ12" s="43"/>
      <c r="AK12" s="98"/>
      <c r="AL12" s="43"/>
      <c r="AM12" s="43"/>
      <c r="AN12" s="43"/>
      <c r="AO12" s="43"/>
      <c r="AP12" s="43"/>
      <c r="AQ12" s="43"/>
      <c r="AR12" s="43"/>
      <c r="AS12" s="43"/>
      <c r="AT12" s="43"/>
      <c r="AU12" s="44"/>
    </row>
    <row r="13" spans="2:47" s="38" customFormat="1" ht="30" customHeight="1" x14ac:dyDescent="0.2">
      <c r="B13" s="78" t="s">
        <v>19</v>
      </c>
      <c r="C13" s="63" t="s">
        <v>59</v>
      </c>
      <c r="D13" s="64"/>
      <c r="E13" s="42">
        <v>5000</v>
      </c>
      <c r="F13" s="18">
        <f t="shared" si="1"/>
        <v>5000</v>
      </c>
      <c r="G13" s="95">
        <f t="shared" si="0"/>
        <v>1</v>
      </c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>
        <v>1</v>
      </c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99"/>
      <c r="AL13" s="43"/>
      <c r="AM13" s="43"/>
      <c r="AN13" s="43"/>
      <c r="AO13" s="43"/>
      <c r="AP13" s="43"/>
      <c r="AQ13" s="43"/>
      <c r="AR13" s="43"/>
      <c r="AS13" s="43"/>
      <c r="AT13" s="43"/>
      <c r="AU13" s="44"/>
    </row>
    <row r="14" spans="2:47" s="38" customFormat="1" ht="30" customHeight="1" x14ac:dyDescent="0.2">
      <c r="B14" s="78" t="s">
        <v>20</v>
      </c>
      <c r="C14" s="63" t="s">
        <v>53</v>
      </c>
      <c r="D14" s="64"/>
      <c r="E14" s="42">
        <v>7000</v>
      </c>
      <c r="F14" s="18">
        <f t="shared" si="1"/>
        <v>28000</v>
      </c>
      <c r="G14" s="95">
        <f t="shared" si="0"/>
        <v>4</v>
      </c>
      <c r="H14" s="43"/>
      <c r="I14" s="43"/>
      <c r="J14" s="43"/>
      <c r="K14" s="43">
        <v>1</v>
      </c>
      <c r="L14" s="43"/>
      <c r="M14" s="43"/>
      <c r="N14" s="43"/>
      <c r="O14" s="43"/>
      <c r="P14" s="43"/>
      <c r="Q14" s="43"/>
      <c r="R14" s="43"/>
      <c r="S14" s="43"/>
      <c r="T14" s="43"/>
      <c r="U14" s="43">
        <v>1</v>
      </c>
      <c r="V14" s="43">
        <v>1</v>
      </c>
      <c r="W14" s="43"/>
      <c r="X14" s="43"/>
      <c r="Y14" s="43"/>
      <c r="Z14" s="43"/>
      <c r="AA14" s="43">
        <v>1</v>
      </c>
      <c r="AB14" s="43"/>
      <c r="AC14" s="43"/>
      <c r="AD14" s="43"/>
      <c r="AE14" s="43"/>
      <c r="AF14" s="43"/>
      <c r="AG14" s="43"/>
      <c r="AH14" s="43"/>
      <c r="AI14" s="43"/>
      <c r="AJ14" s="43"/>
      <c r="AK14" s="98"/>
      <c r="AL14" s="43"/>
      <c r="AM14" s="43"/>
      <c r="AN14" s="43"/>
      <c r="AO14" s="43"/>
      <c r="AP14" s="43"/>
      <c r="AQ14" s="43"/>
      <c r="AR14" s="43"/>
      <c r="AS14" s="43"/>
      <c r="AT14" s="43"/>
      <c r="AU14" s="44"/>
    </row>
    <row r="15" spans="2:47" s="38" customFormat="1" ht="30" customHeight="1" x14ac:dyDescent="0.2">
      <c r="B15" s="78" t="s">
        <v>21</v>
      </c>
      <c r="C15" s="63" t="s">
        <v>66</v>
      </c>
      <c r="D15" s="64"/>
      <c r="E15" s="42">
        <v>7000</v>
      </c>
      <c r="F15" s="18">
        <f t="shared" si="1"/>
        <v>42000</v>
      </c>
      <c r="G15" s="95">
        <f t="shared" si="0"/>
        <v>6</v>
      </c>
      <c r="H15" s="43"/>
      <c r="I15" s="43"/>
      <c r="J15" s="43"/>
      <c r="K15" s="43">
        <v>1</v>
      </c>
      <c r="L15" s="43"/>
      <c r="M15" s="43"/>
      <c r="N15" s="43"/>
      <c r="O15" s="43"/>
      <c r="P15" s="43"/>
      <c r="Q15" s="43"/>
      <c r="R15" s="43"/>
      <c r="S15" s="43"/>
      <c r="T15" s="43"/>
      <c r="U15" s="43">
        <v>1</v>
      </c>
      <c r="V15" s="43">
        <v>1</v>
      </c>
      <c r="W15" s="43"/>
      <c r="X15" s="43"/>
      <c r="Y15" s="43"/>
      <c r="Z15" s="43"/>
      <c r="AA15" s="43">
        <v>1</v>
      </c>
      <c r="AB15" s="43"/>
      <c r="AC15" s="43"/>
      <c r="AD15" s="43"/>
      <c r="AE15" s="43"/>
      <c r="AF15" s="43">
        <v>1</v>
      </c>
      <c r="AG15" s="43"/>
      <c r="AH15" s="43"/>
      <c r="AI15" s="43"/>
      <c r="AJ15" s="43">
        <v>1</v>
      </c>
      <c r="AK15" s="98"/>
      <c r="AL15" s="43"/>
      <c r="AM15" s="43"/>
      <c r="AN15" s="43"/>
      <c r="AO15" s="43"/>
      <c r="AP15" s="43"/>
      <c r="AQ15" s="43"/>
      <c r="AR15" s="43"/>
      <c r="AS15" s="43"/>
      <c r="AT15" s="43"/>
      <c r="AU15" s="44"/>
    </row>
    <row r="16" spans="2:47" s="38" customFormat="1" ht="30" customHeight="1" x14ac:dyDescent="0.2">
      <c r="B16" s="78" t="s">
        <v>22</v>
      </c>
      <c r="C16" s="63"/>
      <c r="D16" s="64"/>
      <c r="E16" s="42">
        <v>7000</v>
      </c>
      <c r="F16" s="18">
        <f t="shared" si="1"/>
        <v>0</v>
      </c>
      <c r="G16" s="95">
        <f t="shared" si="0"/>
        <v>0</v>
      </c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98"/>
      <c r="AL16" s="43"/>
      <c r="AM16" s="43"/>
      <c r="AN16" s="43"/>
      <c r="AO16" s="43"/>
      <c r="AP16" s="43"/>
      <c r="AQ16" s="43"/>
      <c r="AR16" s="43"/>
      <c r="AS16" s="43"/>
      <c r="AT16" s="43"/>
      <c r="AU16" s="44"/>
    </row>
    <row r="17" spans="2:47" s="38" customFormat="1" ht="30" customHeight="1" x14ac:dyDescent="0.2">
      <c r="B17" s="78" t="s">
        <v>23</v>
      </c>
      <c r="C17" s="63"/>
      <c r="D17" s="64"/>
      <c r="E17" s="42">
        <v>7000</v>
      </c>
      <c r="F17" s="18">
        <f t="shared" si="1"/>
        <v>0</v>
      </c>
      <c r="G17" s="95">
        <f t="shared" si="0"/>
        <v>0</v>
      </c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98"/>
      <c r="AL17" s="43"/>
      <c r="AM17" s="43"/>
      <c r="AN17" s="43"/>
      <c r="AO17" s="43"/>
      <c r="AP17" s="43"/>
      <c r="AQ17" s="43"/>
      <c r="AR17" s="43"/>
      <c r="AS17" s="43"/>
      <c r="AT17" s="43"/>
      <c r="AU17" s="44"/>
    </row>
    <row r="18" spans="2:47" s="38" customFormat="1" ht="30" customHeight="1" x14ac:dyDescent="0.2">
      <c r="B18" s="78" t="s">
        <v>24</v>
      </c>
      <c r="C18" s="63"/>
      <c r="D18" s="64"/>
      <c r="E18" s="42">
        <v>7000</v>
      </c>
      <c r="F18" s="18">
        <f t="shared" si="1"/>
        <v>0</v>
      </c>
      <c r="G18" s="95">
        <f t="shared" si="0"/>
        <v>0</v>
      </c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99"/>
      <c r="AL18" s="43"/>
      <c r="AM18" s="43"/>
      <c r="AN18" s="43"/>
      <c r="AO18" s="43"/>
      <c r="AP18" s="43"/>
      <c r="AQ18" s="43"/>
      <c r="AR18" s="43"/>
      <c r="AS18" s="43"/>
      <c r="AT18" s="43"/>
      <c r="AU18" s="44"/>
    </row>
    <row r="19" spans="2:47" s="38" customFormat="1" ht="30" customHeight="1" x14ac:dyDescent="0.2">
      <c r="B19" s="79" t="s">
        <v>25</v>
      </c>
      <c r="C19" s="65"/>
      <c r="D19" s="9"/>
      <c r="E19" s="61">
        <v>7000</v>
      </c>
      <c r="F19" s="50">
        <f t="shared" si="1"/>
        <v>0</v>
      </c>
      <c r="G19" s="95">
        <f t="shared" si="0"/>
        <v>0</v>
      </c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98"/>
      <c r="AL19" s="45"/>
      <c r="AM19" s="45"/>
      <c r="AN19" s="45"/>
      <c r="AO19" s="45"/>
      <c r="AP19" s="45"/>
      <c r="AQ19" s="45"/>
      <c r="AR19" s="45"/>
      <c r="AS19" s="45"/>
      <c r="AT19" s="45"/>
      <c r="AU19" s="60"/>
    </row>
    <row r="20" spans="2:47" s="38" customFormat="1" ht="20.100000000000001" customHeight="1" x14ac:dyDescent="0.2">
      <c r="B20" s="139" t="s">
        <v>8</v>
      </c>
      <c r="C20" s="140"/>
      <c r="D20" s="144"/>
      <c r="E20" s="146">
        <f>SUM(E6:E8,E10:E15)+E9*2</f>
        <v>61500</v>
      </c>
      <c r="F20" s="125">
        <f t="shared" ref="F20:X20" si="2">SUM(F6:F19)</f>
        <v>310500</v>
      </c>
      <c r="G20" s="125">
        <f t="shared" si="2"/>
        <v>52</v>
      </c>
      <c r="H20" s="23">
        <f t="shared" si="2"/>
        <v>2</v>
      </c>
      <c r="I20" s="23">
        <f t="shared" si="2"/>
        <v>1</v>
      </c>
      <c r="J20" s="23">
        <f t="shared" si="2"/>
        <v>1</v>
      </c>
      <c r="K20" s="23">
        <f t="shared" si="2"/>
        <v>4</v>
      </c>
      <c r="L20" s="23">
        <f t="shared" si="2"/>
        <v>1</v>
      </c>
      <c r="M20" s="23">
        <f t="shared" si="2"/>
        <v>2</v>
      </c>
      <c r="N20" s="23">
        <f t="shared" si="2"/>
        <v>1</v>
      </c>
      <c r="O20" s="23">
        <f t="shared" si="2"/>
        <v>2</v>
      </c>
      <c r="P20" s="23">
        <f t="shared" si="2"/>
        <v>1</v>
      </c>
      <c r="Q20" s="23">
        <f t="shared" si="2"/>
        <v>1</v>
      </c>
      <c r="R20" s="23">
        <f t="shared" si="2"/>
        <v>1</v>
      </c>
      <c r="S20" s="23">
        <f t="shared" si="2"/>
        <v>2</v>
      </c>
      <c r="T20" s="23">
        <f t="shared" si="2"/>
        <v>2</v>
      </c>
      <c r="U20" s="23">
        <f t="shared" si="2"/>
        <v>2</v>
      </c>
      <c r="V20" s="23">
        <f t="shared" si="2"/>
        <v>2</v>
      </c>
      <c r="W20" s="23">
        <f t="shared" si="2"/>
        <v>1</v>
      </c>
      <c r="X20" s="23">
        <f t="shared" si="2"/>
        <v>2</v>
      </c>
      <c r="Y20" s="23">
        <f t="shared" ref="Y20:AH20" si="3">SUM(Y6:Y19)</f>
        <v>5</v>
      </c>
      <c r="Z20" s="23">
        <f t="shared" si="3"/>
        <v>3</v>
      </c>
      <c r="AA20" s="23">
        <f t="shared" si="3"/>
        <v>2</v>
      </c>
      <c r="AB20" s="23">
        <f t="shared" si="3"/>
        <v>2</v>
      </c>
      <c r="AC20" s="23">
        <f t="shared" si="3"/>
        <v>1</v>
      </c>
      <c r="AD20" s="23">
        <f t="shared" si="3"/>
        <v>1</v>
      </c>
      <c r="AE20" s="23">
        <f t="shared" si="3"/>
        <v>1</v>
      </c>
      <c r="AF20" s="23">
        <f t="shared" si="3"/>
        <v>1</v>
      </c>
      <c r="AG20" s="23">
        <f t="shared" si="3"/>
        <v>3</v>
      </c>
      <c r="AH20" s="23">
        <f t="shared" si="3"/>
        <v>1</v>
      </c>
      <c r="AI20" s="23">
        <f>SUM(AI6:AI19)</f>
        <v>1</v>
      </c>
      <c r="AJ20" s="23">
        <f>SUM(AJ6:AJ19)</f>
        <v>1</v>
      </c>
      <c r="AK20" s="100">
        <f>SUM(AK6:AK19)</f>
        <v>1</v>
      </c>
      <c r="AL20" s="101">
        <f>SUM(AL6:AL19)</f>
        <v>1</v>
      </c>
      <c r="AM20" s="101">
        <f t="shared" ref="AM20:AU20" si="4">SUM(AM6:AM19)</f>
        <v>0</v>
      </c>
      <c r="AN20" s="101">
        <f t="shared" si="4"/>
        <v>0</v>
      </c>
      <c r="AO20" s="101">
        <f t="shared" si="4"/>
        <v>0</v>
      </c>
      <c r="AP20" s="101">
        <f t="shared" si="4"/>
        <v>0</v>
      </c>
      <c r="AQ20" s="101">
        <f t="shared" si="4"/>
        <v>0</v>
      </c>
      <c r="AR20" s="101">
        <f t="shared" si="4"/>
        <v>0</v>
      </c>
      <c r="AS20" s="101">
        <f t="shared" si="4"/>
        <v>0</v>
      </c>
      <c r="AT20" s="101">
        <f t="shared" si="4"/>
        <v>0</v>
      </c>
      <c r="AU20" s="102">
        <f t="shared" si="4"/>
        <v>0</v>
      </c>
    </row>
    <row r="21" spans="2:47" s="38" customFormat="1" ht="20.100000000000001" customHeight="1" x14ac:dyDescent="0.2">
      <c r="B21" s="141"/>
      <c r="C21" s="142"/>
      <c r="D21" s="145"/>
      <c r="E21" s="147"/>
      <c r="F21" s="126"/>
      <c r="G21" s="126"/>
      <c r="H21" s="46">
        <f>$E6*H6+$E7*H7+$E8*H8+$E9*H9+$E10*H10+$E11*H11+$E12*H12+$E14*H14+$E15*H15+$E16*H16+$E17*H17+$E18*H18+$E19*H19+$E13*H13</f>
        <v>12500</v>
      </c>
      <c r="I21" s="28">
        <f t="shared" ref="I21:AK21" si="5">$E6*I6+$E7*I7+$E8*I8+$E9*I9+$E10*I10+$E11*I11+$E12*I12+$E14*I14+$E15*I15+$E16*I16+$E17*I17+$E18*I18+$E19*I19+$E13*I13</f>
        <v>5500</v>
      </c>
      <c r="J21" s="28">
        <f t="shared" si="5"/>
        <v>5500</v>
      </c>
      <c r="K21" s="28">
        <f t="shared" si="5"/>
        <v>25500</v>
      </c>
      <c r="L21" s="28">
        <f t="shared" si="5"/>
        <v>4000</v>
      </c>
      <c r="M21" s="28">
        <f t="shared" si="5"/>
        <v>12000</v>
      </c>
      <c r="N21" s="28">
        <f t="shared" si="5"/>
        <v>4000</v>
      </c>
      <c r="O21" s="28">
        <f t="shared" si="5"/>
        <v>10500</v>
      </c>
      <c r="P21" s="28">
        <f t="shared" si="5"/>
        <v>6500</v>
      </c>
      <c r="Q21" s="28">
        <f t="shared" si="5"/>
        <v>5500</v>
      </c>
      <c r="R21" s="28">
        <f t="shared" si="5"/>
        <v>6000</v>
      </c>
      <c r="S21" s="28">
        <f t="shared" si="5"/>
        <v>11000</v>
      </c>
      <c r="T21" s="28">
        <f t="shared" si="5"/>
        <v>12500</v>
      </c>
      <c r="U21" s="28">
        <f t="shared" si="5"/>
        <v>14000</v>
      </c>
      <c r="V21" s="28">
        <f t="shared" si="5"/>
        <v>14000</v>
      </c>
      <c r="W21" s="28">
        <f t="shared" si="5"/>
        <v>6000</v>
      </c>
      <c r="X21" s="28">
        <f t="shared" si="5"/>
        <v>11000</v>
      </c>
      <c r="Y21" s="28">
        <f t="shared" si="5"/>
        <v>28000</v>
      </c>
      <c r="Z21" s="28">
        <f t="shared" si="5"/>
        <v>19500</v>
      </c>
      <c r="AA21" s="28">
        <f t="shared" si="5"/>
        <v>14000</v>
      </c>
      <c r="AB21" s="28">
        <f t="shared" si="5"/>
        <v>13000</v>
      </c>
      <c r="AC21" s="28">
        <f t="shared" si="5"/>
        <v>4000</v>
      </c>
      <c r="AD21" s="28">
        <f t="shared" si="5"/>
        <v>5500</v>
      </c>
      <c r="AE21" s="28">
        <f t="shared" si="5"/>
        <v>6500</v>
      </c>
      <c r="AF21" s="28">
        <f t="shared" si="5"/>
        <v>7000</v>
      </c>
      <c r="AG21" s="28">
        <f t="shared" si="5"/>
        <v>18000</v>
      </c>
      <c r="AH21" s="28">
        <f t="shared" si="5"/>
        <v>5500</v>
      </c>
      <c r="AI21" s="28">
        <f t="shared" si="5"/>
        <v>5500</v>
      </c>
      <c r="AJ21" s="28">
        <f t="shared" si="5"/>
        <v>7000</v>
      </c>
      <c r="AK21" s="74">
        <f t="shared" si="5"/>
        <v>5500</v>
      </c>
      <c r="AL21" s="28">
        <f>$E6*AL6+$E7*AL7+$E8*AL8+$E9*AL9+$E10*AL10+$E11*AL11+$E12*AL12+$E14*AL14+$E15*AL15+$E16*AL16+$E17*AL17+$E18*AL18+$E19*AL19+$E13*AL13</f>
        <v>5500</v>
      </c>
      <c r="AM21" s="28">
        <f>$E6*AM6+$E7*AM7+$E8*AM8+$E9*AM9+$E10*AM10+$E11*AM11+$E12*AM12+$E14*AM14+$E15*AM15+$E16*AM16+$E17*AM17+$E18*AM18+$E19*AM19+$E13*AM13</f>
        <v>0</v>
      </c>
      <c r="AN21" s="28">
        <f>$E6*AN6+$E7*AN7+$E8*AN8+$E9*AN9+$E10*AN10+$E11*AN11+$E12*AN12+$E14*AN14+$E15*AN15+$E16*AN16+$E17*AN17+$E18*AN18+$E19*AN19+$E13*AN13</f>
        <v>0</v>
      </c>
      <c r="AO21" s="28">
        <f t="shared" ref="AO21:AU21" si="6">$E6*AO6+$E7*AO7+$E8*AO8+$E9*AO9+$E10*AO10+$E11*AO11+$E12*AO12+$E14*AO14+$E15*AO15+$E16*AO16+$E17*AO17+$E18*AO18+$E19*AO19+$E13*AO13</f>
        <v>0</v>
      </c>
      <c r="AP21" s="28">
        <f t="shared" si="6"/>
        <v>0</v>
      </c>
      <c r="AQ21" s="28">
        <f t="shared" si="6"/>
        <v>0</v>
      </c>
      <c r="AR21" s="28">
        <f t="shared" si="6"/>
        <v>0</v>
      </c>
      <c r="AS21" s="28">
        <f t="shared" si="6"/>
        <v>0</v>
      </c>
      <c r="AT21" s="28">
        <f t="shared" si="6"/>
        <v>0</v>
      </c>
      <c r="AU21" s="29">
        <f t="shared" si="6"/>
        <v>0</v>
      </c>
    </row>
  </sheetData>
  <sheetProtection password="CC67" sheet="1" objects="1" scenarios="1"/>
  <mergeCells count="10">
    <mergeCell ref="B20:D21"/>
    <mergeCell ref="E20:E21"/>
    <mergeCell ref="F20:F21"/>
    <mergeCell ref="G20:G21"/>
    <mergeCell ref="B2:G2"/>
    <mergeCell ref="B4:B5"/>
    <mergeCell ref="C4:C5"/>
    <mergeCell ref="D4:D5"/>
    <mergeCell ref="E4:E5"/>
    <mergeCell ref="F4:F5"/>
  </mergeCells>
  <phoneticPr fontId="2" type="noConversion"/>
  <pageMargins left="0.7" right="0.7" top="0.75" bottom="0.75" header="0.3" footer="0.3"/>
  <pageSetup paperSize="9" scale="31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B1:AU21"/>
  <sheetViews>
    <sheetView showGridLines="0" zoomScale="85" zoomScaleNormal="85" workbookViewId="0">
      <pane xSplit="7" ySplit="5" topLeftCell="M6" activePane="bottomRight" state="frozen"/>
      <selection pane="topRight" activeCell="G1" sqref="G1"/>
      <selection pane="bottomLeft" activeCell="A6" sqref="A6"/>
      <selection pane="bottomRight" activeCell="C6" sqref="C6:D15"/>
    </sheetView>
  </sheetViews>
  <sheetFormatPr defaultColWidth="9.125" defaultRowHeight="14.25" x14ac:dyDescent="0.2"/>
  <cols>
    <col min="1" max="1" width="0.375" style="1" customWidth="1"/>
    <col min="2" max="2" width="16.875" style="1" bestFit="1" customWidth="1"/>
    <col min="3" max="4" width="13.625" style="1" customWidth="1"/>
    <col min="5" max="5" width="10.625" style="1" hidden="1" customWidth="1"/>
    <col min="6" max="6" width="10.625" style="1" customWidth="1"/>
    <col min="7" max="7" width="10.625" style="3" customWidth="1"/>
    <col min="8" max="22" width="10.625" style="4" customWidth="1"/>
    <col min="23" max="47" width="10.625" style="1" customWidth="1"/>
    <col min="48" max="16384" width="9.125" style="1"/>
  </cols>
  <sheetData>
    <row r="1" spans="2:47" ht="3.75" customHeight="1" x14ac:dyDescent="0.2"/>
    <row r="2" spans="2:47" ht="20.25" x14ac:dyDescent="0.2">
      <c r="B2" s="149" t="s">
        <v>26</v>
      </c>
      <c r="C2" s="149"/>
      <c r="D2" s="149"/>
      <c r="E2" s="149"/>
      <c r="F2" s="149"/>
      <c r="G2" s="149"/>
    </row>
    <row r="3" spans="2:47" ht="4.9000000000000004" customHeight="1" x14ac:dyDescent="0.2"/>
    <row r="4" spans="2:47" s="38" customFormat="1" ht="20.100000000000001" customHeight="1" x14ac:dyDescent="0.2">
      <c r="B4" s="150" t="s">
        <v>3</v>
      </c>
      <c r="C4" s="123" t="s">
        <v>45</v>
      </c>
      <c r="D4" s="153" t="s">
        <v>46</v>
      </c>
      <c r="E4" s="135" t="s">
        <v>4</v>
      </c>
      <c r="F4" s="129" t="s">
        <v>5</v>
      </c>
      <c r="G4" s="32" t="s">
        <v>0</v>
      </c>
      <c r="H4" s="33">
        <v>1</v>
      </c>
      <c r="I4" s="34">
        <v>2</v>
      </c>
      <c r="J4" s="34">
        <v>3</v>
      </c>
      <c r="K4" s="34">
        <v>4</v>
      </c>
      <c r="L4" s="34">
        <v>5</v>
      </c>
      <c r="M4" s="34">
        <v>6</v>
      </c>
      <c r="N4" s="34">
        <v>7</v>
      </c>
      <c r="O4" s="34">
        <v>8</v>
      </c>
      <c r="P4" s="34">
        <v>9</v>
      </c>
      <c r="Q4" s="34">
        <v>10</v>
      </c>
      <c r="R4" s="34">
        <v>11</v>
      </c>
      <c r="S4" s="34">
        <v>12</v>
      </c>
      <c r="T4" s="34">
        <v>13</v>
      </c>
      <c r="U4" s="34">
        <v>14</v>
      </c>
      <c r="V4" s="34">
        <v>15</v>
      </c>
      <c r="W4" s="34">
        <v>16</v>
      </c>
      <c r="X4" s="34">
        <v>17</v>
      </c>
      <c r="Y4" s="33">
        <v>18</v>
      </c>
      <c r="Z4" s="34">
        <v>19</v>
      </c>
      <c r="AA4" s="34">
        <v>20</v>
      </c>
      <c r="AB4" s="34">
        <v>21</v>
      </c>
      <c r="AC4" s="34">
        <v>22</v>
      </c>
      <c r="AD4" s="34">
        <v>23</v>
      </c>
      <c r="AE4" s="34">
        <v>24</v>
      </c>
      <c r="AF4" s="34">
        <v>25</v>
      </c>
      <c r="AG4" s="34">
        <v>26</v>
      </c>
      <c r="AH4" s="34">
        <v>27</v>
      </c>
      <c r="AI4" s="34">
        <v>28</v>
      </c>
      <c r="AJ4" s="34">
        <v>29</v>
      </c>
      <c r="AK4" s="96">
        <v>30</v>
      </c>
      <c r="AL4" s="34">
        <v>31</v>
      </c>
      <c r="AM4" s="34">
        <v>32</v>
      </c>
      <c r="AN4" s="34">
        <v>33</v>
      </c>
      <c r="AO4" s="34">
        <v>34</v>
      </c>
      <c r="AP4" s="34">
        <v>35</v>
      </c>
      <c r="AQ4" s="34">
        <v>36</v>
      </c>
      <c r="AR4" s="34">
        <v>37</v>
      </c>
      <c r="AS4" s="34">
        <v>38</v>
      </c>
      <c r="AT4" s="34">
        <v>39</v>
      </c>
      <c r="AU4" s="35">
        <v>40</v>
      </c>
    </row>
    <row r="5" spans="2:47" s="38" customFormat="1" ht="20.100000000000001" customHeight="1" x14ac:dyDescent="0.2">
      <c r="B5" s="151"/>
      <c r="C5" s="152"/>
      <c r="D5" s="154"/>
      <c r="E5" s="136"/>
      <c r="F5" s="130"/>
      <c r="G5" s="36" t="s">
        <v>1</v>
      </c>
      <c r="H5" s="37">
        <v>927</v>
      </c>
      <c r="I5" s="37">
        <v>1222</v>
      </c>
      <c r="J5" s="37">
        <v>1018</v>
      </c>
      <c r="K5" s="37">
        <v>1809</v>
      </c>
      <c r="L5" s="37">
        <v>527</v>
      </c>
      <c r="M5" s="37">
        <v>1414</v>
      </c>
      <c r="N5" s="37">
        <v>1121</v>
      </c>
      <c r="O5" s="37">
        <v>509</v>
      </c>
      <c r="P5" s="37">
        <v>614</v>
      </c>
      <c r="Q5" s="37">
        <v>707</v>
      </c>
      <c r="R5" s="37">
        <v>1425</v>
      </c>
      <c r="S5" s="37">
        <v>1130</v>
      </c>
      <c r="T5" s="37">
        <v>1230</v>
      </c>
      <c r="U5" s="37">
        <v>616</v>
      </c>
      <c r="V5" s="37">
        <v>714</v>
      </c>
      <c r="W5" s="37">
        <v>1515</v>
      </c>
      <c r="X5" s="37">
        <v>1620</v>
      </c>
      <c r="Y5" s="37">
        <v>730</v>
      </c>
      <c r="Z5" s="37">
        <v>1502</v>
      </c>
      <c r="AA5" s="37">
        <v>703</v>
      </c>
      <c r="AB5" s="37">
        <v>1025</v>
      </c>
      <c r="AC5" s="37">
        <v>1629</v>
      </c>
      <c r="AD5" s="37">
        <v>727</v>
      </c>
      <c r="AE5" s="37"/>
      <c r="AF5" s="37"/>
      <c r="AG5" s="37"/>
      <c r="AH5" s="37"/>
      <c r="AI5" s="37"/>
      <c r="AJ5" s="37"/>
      <c r="AK5" s="94"/>
      <c r="AL5" s="7"/>
      <c r="AM5" s="7"/>
      <c r="AN5" s="7"/>
      <c r="AO5" s="7"/>
      <c r="AP5" s="7"/>
      <c r="AQ5" s="7"/>
      <c r="AR5" s="7"/>
      <c r="AS5" s="7"/>
      <c r="AT5" s="7"/>
      <c r="AU5" s="9"/>
    </row>
    <row r="6" spans="2:47" s="38" customFormat="1" ht="30" customHeight="1" x14ac:dyDescent="0.2">
      <c r="B6" s="77" t="s">
        <v>12</v>
      </c>
      <c r="C6" s="62" t="s">
        <v>67</v>
      </c>
      <c r="D6" s="35" t="s">
        <v>53</v>
      </c>
      <c r="E6" s="39">
        <v>6000</v>
      </c>
      <c r="F6" s="12">
        <f>E6*G6</f>
        <v>24000</v>
      </c>
      <c r="G6" s="95">
        <f t="shared" ref="G6:G19" si="0">SUM(H6:AU6)</f>
        <v>4</v>
      </c>
      <c r="H6" s="40"/>
      <c r="I6" s="40"/>
      <c r="J6" s="40"/>
      <c r="K6" s="40"/>
      <c r="L6" s="40"/>
      <c r="M6" s="40"/>
      <c r="N6" s="40"/>
      <c r="O6" s="40"/>
      <c r="P6" s="40"/>
      <c r="Q6" s="40">
        <v>1</v>
      </c>
      <c r="R6" s="40"/>
      <c r="S6" s="40">
        <v>1</v>
      </c>
      <c r="T6" s="40">
        <v>1</v>
      </c>
      <c r="U6" s="40"/>
      <c r="V6" s="40"/>
      <c r="W6" s="40">
        <v>1</v>
      </c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97"/>
      <c r="AL6" s="40"/>
      <c r="AM6" s="40"/>
      <c r="AN6" s="40"/>
      <c r="AO6" s="40"/>
      <c r="AP6" s="40"/>
      <c r="AQ6" s="40"/>
      <c r="AR6" s="40"/>
      <c r="AS6" s="40"/>
      <c r="AT6" s="40"/>
      <c r="AU6" s="41"/>
    </row>
    <row r="7" spans="2:47" s="38" customFormat="1" ht="30" customHeight="1" x14ac:dyDescent="0.2">
      <c r="B7" s="78" t="s">
        <v>13</v>
      </c>
      <c r="C7" s="63" t="s">
        <v>54</v>
      </c>
      <c r="D7" s="64"/>
      <c r="E7" s="42">
        <v>6500</v>
      </c>
      <c r="F7" s="18">
        <f t="shared" ref="F7:F19" si="1">E7*G7</f>
        <v>13000</v>
      </c>
      <c r="G7" s="95">
        <f t="shared" si="0"/>
        <v>2</v>
      </c>
      <c r="H7" s="43"/>
      <c r="I7" s="43"/>
      <c r="J7" s="43"/>
      <c r="K7" s="43"/>
      <c r="L7" s="43"/>
      <c r="M7" s="43"/>
      <c r="N7" s="43"/>
      <c r="O7" s="43"/>
      <c r="P7" s="43">
        <v>1</v>
      </c>
      <c r="Q7" s="43"/>
      <c r="R7" s="43"/>
      <c r="S7" s="43"/>
      <c r="T7" s="43"/>
      <c r="U7" s="43"/>
      <c r="V7" s="43"/>
      <c r="W7" s="43"/>
      <c r="X7" s="43">
        <v>1</v>
      </c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98"/>
      <c r="AL7" s="43"/>
      <c r="AM7" s="43"/>
      <c r="AN7" s="43"/>
      <c r="AO7" s="43"/>
      <c r="AP7" s="43"/>
      <c r="AQ7" s="43"/>
      <c r="AR7" s="43"/>
      <c r="AS7" s="43"/>
      <c r="AT7" s="43"/>
      <c r="AU7" s="44"/>
    </row>
    <row r="8" spans="2:47" s="38" customFormat="1" ht="30" customHeight="1" x14ac:dyDescent="0.2">
      <c r="B8" s="78" t="s">
        <v>14</v>
      </c>
      <c r="C8" s="63" t="s">
        <v>65</v>
      </c>
      <c r="D8" s="64"/>
      <c r="E8" s="42">
        <v>7000</v>
      </c>
      <c r="F8" s="18">
        <f t="shared" si="1"/>
        <v>0</v>
      </c>
      <c r="G8" s="95">
        <f t="shared" si="0"/>
        <v>0</v>
      </c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98"/>
      <c r="AL8" s="43"/>
      <c r="AM8" s="43"/>
      <c r="AN8" s="43"/>
      <c r="AO8" s="43"/>
      <c r="AP8" s="43"/>
      <c r="AQ8" s="43"/>
      <c r="AR8" s="43"/>
      <c r="AS8" s="43"/>
      <c r="AT8" s="43"/>
      <c r="AU8" s="44"/>
    </row>
    <row r="9" spans="2:47" s="38" customFormat="1" ht="30" customHeight="1" x14ac:dyDescent="0.2">
      <c r="B9" s="78" t="s">
        <v>15</v>
      </c>
      <c r="C9" s="63" t="s">
        <v>57</v>
      </c>
      <c r="D9" s="64"/>
      <c r="E9" s="42">
        <v>5500</v>
      </c>
      <c r="F9" s="18">
        <f t="shared" si="1"/>
        <v>99000</v>
      </c>
      <c r="G9" s="95">
        <f t="shared" si="0"/>
        <v>18</v>
      </c>
      <c r="H9" s="43">
        <v>1</v>
      </c>
      <c r="I9" s="43">
        <v>1</v>
      </c>
      <c r="J9" s="43">
        <v>1</v>
      </c>
      <c r="K9" s="43">
        <v>1</v>
      </c>
      <c r="L9" s="43">
        <v>1</v>
      </c>
      <c r="M9" s="43"/>
      <c r="N9" s="43">
        <v>2</v>
      </c>
      <c r="O9" s="43">
        <v>1</v>
      </c>
      <c r="P9" s="43"/>
      <c r="Q9" s="43"/>
      <c r="R9" s="43"/>
      <c r="S9" s="43"/>
      <c r="T9" s="43"/>
      <c r="U9" s="43">
        <v>2</v>
      </c>
      <c r="V9" s="43">
        <v>1</v>
      </c>
      <c r="W9" s="43"/>
      <c r="X9" s="43">
        <v>2</v>
      </c>
      <c r="Y9" s="43">
        <v>2</v>
      </c>
      <c r="Z9" s="43"/>
      <c r="AA9" s="43">
        <v>1</v>
      </c>
      <c r="AB9" s="43">
        <v>2</v>
      </c>
      <c r="AC9" s="43"/>
      <c r="AD9" s="43"/>
      <c r="AE9" s="43"/>
      <c r="AF9" s="43"/>
      <c r="AG9" s="43"/>
      <c r="AH9" s="43"/>
      <c r="AI9" s="43"/>
      <c r="AJ9" s="43"/>
      <c r="AK9" s="98"/>
      <c r="AL9" s="43"/>
      <c r="AM9" s="43"/>
      <c r="AN9" s="43"/>
      <c r="AO9" s="43"/>
      <c r="AP9" s="43"/>
      <c r="AQ9" s="43"/>
      <c r="AR9" s="43"/>
      <c r="AS9" s="43"/>
      <c r="AT9" s="43"/>
      <c r="AU9" s="44"/>
    </row>
    <row r="10" spans="2:47" s="38" customFormat="1" ht="30" customHeight="1" x14ac:dyDescent="0.2">
      <c r="B10" s="78" t="s">
        <v>16</v>
      </c>
      <c r="C10" s="63" t="s">
        <v>58</v>
      </c>
      <c r="D10" s="64"/>
      <c r="E10" s="42">
        <v>4000</v>
      </c>
      <c r="F10" s="18">
        <f t="shared" si="1"/>
        <v>8000</v>
      </c>
      <c r="G10" s="95">
        <f t="shared" si="0"/>
        <v>2</v>
      </c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>
        <v>1</v>
      </c>
      <c r="AC10" s="43">
        <v>1</v>
      </c>
      <c r="AD10" s="43"/>
      <c r="AE10" s="43"/>
      <c r="AF10" s="43"/>
      <c r="AG10" s="43"/>
      <c r="AH10" s="43"/>
      <c r="AI10" s="43"/>
      <c r="AJ10" s="43"/>
      <c r="AK10" s="98"/>
      <c r="AL10" s="43"/>
      <c r="AM10" s="43"/>
      <c r="AN10" s="43"/>
      <c r="AO10" s="43"/>
      <c r="AP10" s="43"/>
      <c r="AQ10" s="43"/>
      <c r="AR10" s="43"/>
      <c r="AS10" s="43"/>
      <c r="AT10" s="43"/>
      <c r="AU10" s="44"/>
    </row>
    <row r="11" spans="2:47" s="38" customFormat="1" ht="30" customHeight="1" x14ac:dyDescent="0.2">
      <c r="B11" s="78" t="s">
        <v>17</v>
      </c>
      <c r="C11" s="63" t="s">
        <v>59</v>
      </c>
      <c r="D11" s="64"/>
      <c r="E11" s="42">
        <v>4000</v>
      </c>
      <c r="F11" s="18">
        <f t="shared" si="1"/>
        <v>24000</v>
      </c>
      <c r="G11" s="95">
        <f t="shared" si="0"/>
        <v>6</v>
      </c>
      <c r="H11" s="43">
        <v>1</v>
      </c>
      <c r="I11" s="43">
        <v>1</v>
      </c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>
        <v>1</v>
      </c>
      <c r="Y11" s="43"/>
      <c r="Z11" s="43">
        <v>1</v>
      </c>
      <c r="AA11" s="43"/>
      <c r="AB11" s="43">
        <v>1</v>
      </c>
      <c r="AC11" s="43"/>
      <c r="AD11" s="43">
        <v>1</v>
      </c>
      <c r="AE11" s="43"/>
      <c r="AF11" s="43"/>
      <c r="AG11" s="43"/>
      <c r="AH11" s="43"/>
      <c r="AI11" s="43"/>
      <c r="AJ11" s="43"/>
      <c r="AK11" s="98"/>
      <c r="AL11" s="43"/>
      <c r="AM11" s="43"/>
      <c r="AN11" s="43"/>
      <c r="AO11" s="43"/>
      <c r="AP11" s="43"/>
      <c r="AQ11" s="43"/>
      <c r="AR11" s="43"/>
      <c r="AS11" s="43"/>
      <c r="AT11" s="43"/>
      <c r="AU11" s="44"/>
    </row>
    <row r="12" spans="2:47" s="38" customFormat="1" ht="30" customHeight="1" x14ac:dyDescent="0.2">
      <c r="B12" s="78" t="s">
        <v>18</v>
      </c>
      <c r="C12" s="63" t="s">
        <v>60</v>
      </c>
      <c r="D12" s="64"/>
      <c r="E12" s="42">
        <v>4000</v>
      </c>
      <c r="F12" s="18">
        <f t="shared" si="1"/>
        <v>4000</v>
      </c>
      <c r="G12" s="95">
        <f t="shared" si="0"/>
        <v>1</v>
      </c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>
        <v>1</v>
      </c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98"/>
      <c r="AL12" s="43"/>
      <c r="AM12" s="43"/>
      <c r="AN12" s="43"/>
      <c r="AO12" s="43"/>
      <c r="AP12" s="43"/>
      <c r="AQ12" s="43"/>
      <c r="AR12" s="43"/>
      <c r="AS12" s="43"/>
      <c r="AT12" s="43"/>
      <c r="AU12" s="44"/>
    </row>
    <row r="13" spans="2:47" s="38" customFormat="1" ht="30" customHeight="1" x14ac:dyDescent="0.2">
      <c r="B13" s="78" t="s">
        <v>19</v>
      </c>
      <c r="C13" s="63" t="s">
        <v>59</v>
      </c>
      <c r="D13" s="64"/>
      <c r="E13" s="42">
        <v>5000</v>
      </c>
      <c r="F13" s="18">
        <f t="shared" si="1"/>
        <v>10000</v>
      </c>
      <c r="G13" s="95">
        <f t="shared" si="0"/>
        <v>2</v>
      </c>
      <c r="H13" s="45"/>
      <c r="I13" s="45"/>
      <c r="J13" s="45"/>
      <c r="K13" s="45"/>
      <c r="L13" s="45"/>
      <c r="M13" s="45">
        <v>1</v>
      </c>
      <c r="N13" s="45"/>
      <c r="O13" s="45">
        <v>1</v>
      </c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99"/>
      <c r="AL13" s="43"/>
      <c r="AM13" s="43"/>
      <c r="AN13" s="43"/>
      <c r="AO13" s="43"/>
      <c r="AP13" s="43"/>
      <c r="AQ13" s="43"/>
      <c r="AR13" s="43"/>
      <c r="AS13" s="43"/>
      <c r="AT13" s="43"/>
      <c r="AU13" s="44"/>
    </row>
    <row r="14" spans="2:47" s="38" customFormat="1" ht="30" customHeight="1" x14ac:dyDescent="0.2">
      <c r="B14" s="78" t="s">
        <v>20</v>
      </c>
      <c r="C14" s="63" t="s">
        <v>53</v>
      </c>
      <c r="D14" s="64"/>
      <c r="E14" s="42">
        <v>7000</v>
      </c>
      <c r="F14" s="18">
        <f t="shared" si="1"/>
        <v>14000</v>
      </c>
      <c r="G14" s="95">
        <f t="shared" si="0"/>
        <v>2</v>
      </c>
      <c r="H14" s="43"/>
      <c r="I14" s="43"/>
      <c r="J14" s="43"/>
      <c r="K14" s="43"/>
      <c r="L14" s="43"/>
      <c r="M14" s="43"/>
      <c r="N14" s="43">
        <v>1</v>
      </c>
      <c r="O14" s="43"/>
      <c r="P14" s="43"/>
      <c r="Q14" s="43">
        <v>1</v>
      </c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98"/>
      <c r="AL14" s="43"/>
      <c r="AM14" s="43"/>
      <c r="AN14" s="43"/>
      <c r="AO14" s="43"/>
      <c r="AP14" s="43"/>
      <c r="AQ14" s="43"/>
      <c r="AR14" s="43"/>
      <c r="AS14" s="43"/>
      <c r="AT14" s="43"/>
      <c r="AU14" s="44"/>
    </row>
    <row r="15" spans="2:47" s="38" customFormat="1" ht="30" customHeight="1" x14ac:dyDescent="0.2">
      <c r="B15" s="78" t="s">
        <v>21</v>
      </c>
      <c r="C15" s="63" t="s">
        <v>66</v>
      </c>
      <c r="D15" s="64"/>
      <c r="E15" s="42">
        <v>7000</v>
      </c>
      <c r="F15" s="18">
        <f t="shared" si="1"/>
        <v>0</v>
      </c>
      <c r="G15" s="95">
        <f t="shared" si="0"/>
        <v>0</v>
      </c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98"/>
      <c r="AL15" s="43"/>
      <c r="AM15" s="43"/>
      <c r="AN15" s="43"/>
      <c r="AO15" s="43"/>
      <c r="AP15" s="43"/>
      <c r="AQ15" s="43"/>
      <c r="AR15" s="43"/>
      <c r="AS15" s="43"/>
      <c r="AT15" s="43"/>
      <c r="AU15" s="44"/>
    </row>
    <row r="16" spans="2:47" s="38" customFormat="1" ht="30" customHeight="1" x14ac:dyDescent="0.2">
      <c r="B16" s="78" t="s">
        <v>22</v>
      </c>
      <c r="C16" s="63"/>
      <c r="D16" s="64"/>
      <c r="E16" s="42">
        <v>7000</v>
      </c>
      <c r="F16" s="18">
        <f t="shared" si="1"/>
        <v>0</v>
      </c>
      <c r="G16" s="95">
        <f t="shared" si="0"/>
        <v>0</v>
      </c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98"/>
      <c r="AL16" s="43"/>
      <c r="AM16" s="43"/>
      <c r="AN16" s="43"/>
      <c r="AO16" s="43"/>
      <c r="AP16" s="43"/>
      <c r="AQ16" s="43"/>
      <c r="AR16" s="43"/>
      <c r="AS16" s="43"/>
      <c r="AT16" s="43"/>
      <c r="AU16" s="44"/>
    </row>
    <row r="17" spans="2:47" s="38" customFormat="1" ht="30" customHeight="1" x14ac:dyDescent="0.2">
      <c r="B17" s="78" t="s">
        <v>23</v>
      </c>
      <c r="C17" s="63"/>
      <c r="D17" s="64"/>
      <c r="E17" s="42">
        <v>7000</v>
      </c>
      <c r="F17" s="18">
        <f t="shared" si="1"/>
        <v>0</v>
      </c>
      <c r="G17" s="95">
        <f t="shared" si="0"/>
        <v>0</v>
      </c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98"/>
      <c r="AL17" s="43"/>
      <c r="AM17" s="43"/>
      <c r="AN17" s="43"/>
      <c r="AO17" s="43"/>
      <c r="AP17" s="43"/>
      <c r="AQ17" s="43"/>
      <c r="AR17" s="43"/>
      <c r="AS17" s="43"/>
      <c r="AT17" s="43"/>
      <c r="AU17" s="44"/>
    </row>
    <row r="18" spans="2:47" s="38" customFormat="1" ht="30" customHeight="1" x14ac:dyDescent="0.2">
      <c r="B18" s="78" t="s">
        <v>24</v>
      </c>
      <c r="C18" s="63"/>
      <c r="D18" s="64"/>
      <c r="E18" s="42">
        <v>7000</v>
      </c>
      <c r="F18" s="18">
        <f t="shared" si="1"/>
        <v>0</v>
      </c>
      <c r="G18" s="95">
        <f t="shared" si="0"/>
        <v>0</v>
      </c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99"/>
      <c r="AL18" s="43"/>
      <c r="AM18" s="43"/>
      <c r="AN18" s="43"/>
      <c r="AO18" s="43"/>
      <c r="AP18" s="43"/>
      <c r="AQ18" s="43"/>
      <c r="AR18" s="43"/>
      <c r="AS18" s="43"/>
      <c r="AT18" s="43"/>
      <c r="AU18" s="44"/>
    </row>
    <row r="19" spans="2:47" s="38" customFormat="1" ht="30" customHeight="1" x14ac:dyDescent="0.2">
      <c r="B19" s="79" t="s">
        <v>25</v>
      </c>
      <c r="C19" s="65"/>
      <c r="D19" s="9"/>
      <c r="E19" s="61">
        <v>7000</v>
      </c>
      <c r="F19" s="50">
        <f t="shared" si="1"/>
        <v>0</v>
      </c>
      <c r="G19" s="95">
        <f t="shared" si="0"/>
        <v>0</v>
      </c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98"/>
      <c r="AL19" s="45"/>
      <c r="AM19" s="45"/>
      <c r="AN19" s="45"/>
      <c r="AO19" s="45"/>
      <c r="AP19" s="45"/>
      <c r="AQ19" s="45"/>
      <c r="AR19" s="45"/>
      <c r="AS19" s="45"/>
      <c r="AT19" s="45"/>
      <c r="AU19" s="60"/>
    </row>
    <row r="20" spans="2:47" s="38" customFormat="1" ht="20.100000000000001" customHeight="1" x14ac:dyDescent="0.2">
      <c r="B20" s="139" t="s">
        <v>8</v>
      </c>
      <c r="C20" s="140"/>
      <c r="D20" s="144"/>
      <c r="E20" s="146">
        <f>SUM(E6:E8,E10:E15)+E9*2</f>
        <v>61500</v>
      </c>
      <c r="F20" s="125">
        <f t="shared" ref="F20:X20" si="2">SUM(F6:F19)</f>
        <v>196000</v>
      </c>
      <c r="G20" s="125">
        <f t="shared" si="2"/>
        <v>37</v>
      </c>
      <c r="H20" s="23">
        <f t="shared" si="2"/>
        <v>2</v>
      </c>
      <c r="I20" s="23">
        <f t="shared" si="2"/>
        <v>2</v>
      </c>
      <c r="J20" s="23">
        <f t="shared" si="2"/>
        <v>1</v>
      </c>
      <c r="K20" s="23">
        <f t="shared" si="2"/>
        <v>1</v>
      </c>
      <c r="L20" s="23">
        <f t="shared" si="2"/>
        <v>1</v>
      </c>
      <c r="M20" s="23">
        <f t="shared" si="2"/>
        <v>1</v>
      </c>
      <c r="N20" s="23">
        <f t="shared" si="2"/>
        <v>3</v>
      </c>
      <c r="O20" s="23">
        <f t="shared" si="2"/>
        <v>2</v>
      </c>
      <c r="P20" s="23">
        <f t="shared" si="2"/>
        <v>1</v>
      </c>
      <c r="Q20" s="23">
        <f t="shared" si="2"/>
        <v>2</v>
      </c>
      <c r="R20" s="23">
        <f t="shared" si="2"/>
        <v>1</v>
      </c>
      <c r="S20" s="23">
        <f t="shared" si="2"/>
        <v>1</v>
      </c>
      <c r="T20" s="23">
        <f t="shared" si="2"/>
        <v>1</v>
      </c>
      <c r="U20" s="23">
        <f t="shared" si="2"/>
        <v>2</v>
      </c>
      <c r="V20" s="23">
        <f t="shared" si="2"/>
        <v>1</v>
      </c>
      <c r="W20" s="23">
        <f t="shared" si="2"/>
        <v>1</v>
      </c>
      <c r="X20" s="23">
        <f t="shared" si="2"/>
        <v>4</v>
      </c>
      <c r="Y20" s="23">
        <f t="shared" ref="Y20:AH20" si="3">SUM(Y6:Y19)</f>
        <v>2</v>
      </c>
      <c r="Z20" s="23">
        <f t="shared" si="3"/>
        <v>1</v>
      </c>
      <c r="AA20" s="23">
        <f t="shared" si="3"/>
        <v>1</v>
      </c>
      <c r="AB20" s="23">
        <f t="shared" si="3"/>
        <v>4</v>
      </c>
      <c r="AC20" s="23">
        <f t="shared" si="3"/>
        <v>1</v>
      </c>
      <c r="AD20" s="23">
        <f t="shared" si="3"/>
        <v>1</v>
      </c>
      <c r="AE20" s="23">
        <f t="shared" si="3"/>
        <v>0</v>
      </c>
      <c r="AF20" s="23">
        <f t="shared" si="3"/>
        <v>0</v>
      </c>
      <c r="AG20" s="23">
        <f t="shared" si="3"/>
        <v>0</v>
      </c>
      <c r="AH20" s="23">
        <f t="shared" si="3"/>
        <v>0</v>
      </c>
      <c r="AI20" s="23">
        <f>SUM(AI6:AI19)</f>
        <v>0</v>
      </c>
      <c r="AJ20" s="23">
        <f>SUM(AJ6:AJ19)</f>
        <v>0</v>
      </c>
      <c r="AK20" s="100">
        <f>SUM(AK6:AK19)</f>
        <v>0</v>
      </c>
      <c r="AL20" s="101">
        <f>SUM(AL6:AL19)</f>
        <v>0</v>
      </c>
      <c r="AM20" s="101">
        <f t="shared" ref="AM20:AU20" si="4">SUM(AM6:AM19)</f>
        <v>0</v>
      </c>
      <c r="AN20" s="101">
        <f t="shared" si="4"/>
        <v>0</v>
      </c>
      <c r="AO20" s="101">
        <f t="shared" si="4"/>
        <v>0</v>
      </c>
      <c r="AP20" s="101">
        <f t="shared" si="4"/>
        <v>0</v>
      </c>
      <c r="AQ20" s="101">
        <f t="shared" si="4"/>
        <v>0</v>
      </c>
      <c r="AR20" s="101">
        <f t="shared" si="4"/>
        <v>0</v>
      </c>
      <c r="AS20" s="101">
        <f t="shared" si="4"/>
        <v>0</v>
      </c>
      <c r="AT20" s="101">
        <f t="shared" si="4"/>
        <v>0</v>
      </c>
      <c r="AU20" s="102">
        <f t="shared" si="4"/>
        <v>0</v>
      </c>
    </row>
    <row r="21" spans="2:47" s="38" customFormat="1" ht="20.100000000000001" customHeight="1" x14ac:dyDescent="0.2">
      <c r="B21" s="141"/>
      <c r="C21" s="142"/>
      <c r="D21" s="145"/>
      <c r="E21" s="147"/>
      <c r="F21" s="126"/>
      <c r="G21" s="126"/>
      <c r="H21" s="46">
        <f>$E6*H6+$E7*H7+$E8*H8+$E9*H9+$E10*H10+$E11*H11+$E12*H12+$E14*H14+$E15*H15+$E16*H16+$E17*H17+$E18*H18+$E19*H19+$E13*H13</f>
        <v>9500</v>
      </c>
      <c r="I21" s="28">
        <f t="shared" ref="I21:AK21" si="5">$E6*I6+$E7*I7+$E8*I8+$E9*I9+$E10*I10+$E11*I11+$E12*I12+$E14*I14+$E15*I15+$E16*I16+$E17*I17+$E18*I18+$E19*I19+$E13*I13</f>
        <v>9500</v>
      </c>
      <c r="J21" s="28">
        <f t="shared" si="5"/>
        <v>5500</v>
      </c>
      <c r="K21" s="28">
        <f t="shared" si="5"/>
        <v>5500</v>
      </c>
      <c r="L21" s="28">
        <f t="shared" si="5"/>
        <v>5500</v>
      </c>
      <c r="M21" s="28">
        <f t="shared" si="5"/>
        <v>5000</v>
      </c>
      <c r="N21" s="28">
        <f t="shared" si="5"/>
        <v>18000</v>
      </c>
      <c r="O21" s="28">
        <f t="shared" si="5"/>
        <v>10500</v>
      </c>
      <c r="P21" s="28">
        <f t="shared" si="5"/>
        <v>6500</v>
      </c>
      <c r="Q21" s="28">
        <f t="shared" si="5"/>
        <v>13000</v>
      </c>
      <c r="R21" s="28">
        <f t="shared" si="5"/>
        <v>4000</v>
      </c>
      <c r="S21" s="28">
        <f t="shared" si="5"/>
        <v>6000</v>
      </c>
      <c r="T21" s="28">
        <f t="shared" si="5"/>
        <v>6000</v>
      </c>
      <c r="U21" s="28">
        <f t="shared" si="5"/>
        <v>11000</v>
      </c>
      <c r="V21" s="28">
        <f t="shared" si="5"/>
        <v>5500</v>
      </c>
      <c r="W21" s="28">
        <f t="shared" si="5"/>
        <v>6000</v>
      </c>
      <c r="X21" s="28">
        <f t="shared" si="5"/>
        <v>21500</v>
      </c>
      <c r="Y21" s="28">
        <f t="shared" si="5"/>
        <v>11000</v>
      </c>
      <c r="Z21" s="28">
        <f t="shared" si="5"/>
        <v>4000</v>
      </c>
      <c r="AA21" s="28">
        <f t="shared" si="5"/>
        <v>5500</v>
      </c>
      <c r="AB21" s="28">
        <f t="shared" si="5"/>
        <v>19000</v>
      </c>
      <c r="AC21" s="28">
        <f t="shared" si="5"/>
        <v>4000</v>
      </c>
      <c r="AD21" s="28">
        <f t="shared" si="5"/>
        <v>4000</v>
      </c>
      <c r="AE21" s="28">
        <f t="shared" si="5"/>
        <v>0</v>
      </c>
      <c r="AF21" s="28">
        <f t="shared" si="5"/>
        <v>0</v>
      </c>
      <c r="AG21" s="28">
        <f t="shared" si="5"/>
        <v>0</v>
      </c>
      <c r="AH21" s="28">
        <f t="shared" si="5"/>
        <v>0</v>
      </c>
      <c r="AI21" s="28">
        <f t="shared" si="5"/>
        <v>0</v>
      </c>
      <c r="AJ21" s="28">
        <f t="shared" si="5"/>
        <v>0</v>
      </c>
      <c r="AK21" s="74">
        <f t="shared" si="5"/>
        <v>0</v>
      </c>
      <c r="AL21" s="28">
        <f>$E6*AL6+$E7*AL7+$E8*AL8+$E9*AL9+$E10*AL10+$E11*AL11+$E12*AL12+$E14*AL14+$E15*AL15+$E16*AL16+$E17*AL17+$E18*AL18+$E19*AL19+$E13*AL13</f>
        <v>0</v>
      </c>
      <c r="AM21" s="28">
        <f>$E6*AM6+$E7*AM7+$E8*AM8+$E9*AM9+$E10*AM10+$E11*AM11+$E12*AM12+$E14*AM14+$E15*AM15+$E16*AM16+$E17*AM17+$E18*AM18+$E19*AM19+$E13*AM13</f>
        <v>0</v>
      </c>
      <c r="AN21" s="28">
        <f>$E6*AN6+$E7*AN7+$E8*AN8+$E9*AN9+$E10*AN10+$E11*AN11+$E12*AN12+$E14*AN14+$E15*AN15+$E16*AN16+$E17*AN17+$E18*AN18+$E19*AN19+$E13*AN13</f>
        <v>0</v>
      </c>
      <c r="AO21" s="28">
        <f t="shared" ref="AO21:AU21" si="6">$E6*AO6+$E7*AO7+$E8*AO8+$E9*AO9+$E10*AO10+$E11*AO11+$E12*AO12+$E14*AO14+$E15*AO15+$E16*AO16+$E17*AO17+$E18*AO18+$E19*AO19+$E13*AO13</f>
        <v>0</v>
      </c>
      <c r="AP21" s="28">
        <f t="shared" si="6"/>
        <v>0</v>
      </c>
      <c r="AQ21" s="28">
        <f t="shared" si="6"/>
        <v>0</v>
      </c>
      <c r="AR21" s="28">
        <f t="shared" si="6"/>
        <v>0</v>
      </c>
      <c r="AS21" s="28">
        <f t="shared" si="6"/>
        <v>0</v>
      </c>
      <c r="AT21" s="28">
        <f t="shared" si="6"/>
        <v>0</v>
      </c>
      <c r="AU21" s="29">
        <f t="shared" si="6"/>
        <v>0</v>
      </c>
    </row>
  </sheetData>
  <sheetProtection password="CC67" sheet="1" objects="1" scenarios="1"/>
  <mergeCells count="10">
    <mergeCell ref="B20:D21"/>
    <mergeCell ref="E20:E21"/>
    <mergeCell ref="F20:F21"/>
    <mergeCell ref="G20:G21"/>
    <mergeCell ref="B2:G2"/>
    <mergeCell ref="B4:B5"/>
    <mergeCell ref="C4:C5"/>
    <mergeCell ref="D4:D5"/>
    <mergeCell ref="E4:E5"/>
    <mergeCell ref="F4:F5"/>
  </mergeCells>
  <phoneticPr fontId="2" type="noConversion"/>
  <pageMargins left="0.7" right="0.7" top="0.75" bottom="0.75" header="0.3" footer="0.3"/>
  <pageSetup paperSize="9" scale="31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B1:AU21"/>
  <sheetViews>
    <sheetView showGridLines="0" zoomScale="85" zoomScaleNormal="85" workbookViewId="0">
      <pane xSplit="7" ySplit="5" topLeftCell="H6" activePane="bottomRight" state="frozen"/>
      <selection pane="topRight" activeCell="G1" sqref="G1"/>
      <selection pane="bottomLeft" activeCell="A6" sqref="A6"/>
      <selection pane="bottomRight" activeCell="D18" sqref="D18"/>
    </sheetView>
  </sheetViews>
  <sheetFormatPr defaultColWidth="9.125" defaultRowHeight="14.25" x14ac:dyDescent="0.2"/>
  <cols>
    <col min="1" max="1" width="0.375" style="1" customWidth="1"/>
    <col min="2" max="2" width="16.875" style="1" bestFit="1" customWidth="1"/>
    <col min="3" max="4" width="13.625" style="1" customWidth="1"/>
    <col min="5" max="5" width="10.625" style="1" hidden="1" customWidth="1"/>
    <col min="6" max="6" width="10.625" style="1" customWidth="1"/>
    <col min="7" max="7" width="10.625" style="3" customWidth="1"/>
    <col min="8" max="22" width="10.625" style="4" customWidth="1"/>
    <col min="23" max="47" width="10.625" style="1" customWidth="1"/>
    <col min="48" max="16384" width="9.125" style="1"/>
  </cols>
  <sheetData>
    <row r="1" spans="2:47" ht="3.75" customHeight="1" x14ac:dyDescent="0.2"/>
    <row r="2" spans="2:47" ht="20.25" x14ac:dyDescent="0.2">
      <c r="B2" s="149" t="s">
        <v>26</v>
      </c>
      <c r="C2" s="149"/>
      <c r="D2" s="149"/>
      <c r="E2" s="149"/>
      <c r="F2" s="149"/>
      <c r="G2" s="149"/>
    </row>
    <row r="3" spans="2:47" ht="4.9000000000000004" customHeight="1" x14ac:dyDescent="0.2"/>
    <row r="4" spans="2:47" s="38" customFormat="1" ht="20.100000000000001" customHeight="1" x14ac:dyDescent="0.2">
      <c r="B4" s="150" t="s">
        <v>3</v>
      </c>
      <c r="C4" s="123" t="s">
        <v>45</v>
      </c>
      <c r="D4" s="153" t="s">
        <v>46</v>
      </c>
      <c r="E4" s="135" t="s">
        <v>4</v>
      </c>
      <c r="F4" s="129" t="s">
        <v>5</v>
      </c>
      <c r="G4" s="32" t="s">
        <v>0</v>
      </c>
      <c r="H4" s="33">
        <v>1</v>
      </c>
      <c r="I4" s="34">
        <v>2</v>
      </c>
      <c r="J4" s="34">
        <v>3</v>
      </c>
      <c r="K4" s="34">
        <v>4</v>
      </c>
      <c r="L4" s="34">
        <v>5</v>
      </c>
      <c r="M4" s="34">
        <v>6</v>
      </c>
      <c r="N4" s="34">
        <v>7</v>
      </c>
      <c r="O4" s="34">
        <v>8</v>
      </c>
      <c r="P4" s="34">
        <v>9</v>
      </c>
      <c r="Q4" s="34">
        <v>10</v>
      </c>
      <c r="R4" s="34">
        <v>11</v>
      </c>
      <c r="S4" s="34">
        <v>12</v>
      </c>
      <c r="T4" s="34">
        <v>13</v>
      </c>
      <c r="U4" s="34">
        <v>14</v>
      </c>
      <c r="V4" s="34">
        <v>15</v>
      </c>
      <c r="W4" s="34">
        <v>16</v>
      </c>
      <c r="X4" s="34">
        <v>17</v>
      </c>
      <c r="Y4" s="33">
        <v>18</v>
      </c>
      <c r="Z4" s="34">
        <v>19</v>
      </c>
      <c r="AA4" s="34">
        <v>20</v>
      </c>
      <c r="AB4" s="34">
        <v>21</v>
      </c>
      <c r="AC4" s="34">
        <v>22</v>
      </c>
      <c r="AD4" s="34">
        <v>23</v>
      </c>
      <c r="AE4" s="34">
        <v>24</v>
      </c>
      <c r="AF4" s="34">
        <v>25</v>
      </c>
      <c r="AG4" s="34">
        <v>26</v>
      </c>
      <c r="AH4" s="34">
        <v>27</v>
      </c>
      <c r="AI4" s="34">
        <v>28</v>
      </c>
      <c r="AJ4" s="34">
        <v>29</v>
      </c>
      <c r="AK4" s="96">
        <v>30</v>
      </c>
      <c r="AL4" s="34">
        <v>31</v>
      </c>
      <c r="AM4" s="34">
        <v>32</v>
      </c>
      <c r="AN4" s="34">
        <v>33</v>
      </c>
      <c r="AO4" s="34">
        <v>34</v>
      </c>
      <c r="AP4" s="34">
        <v>35</v>
      </c>
      <c r="AQ4" s="34">
        <v>36</v>
      </c>
      <c r="AR4" s="34">
        <v>37</v>
      </c>
      <c r="AS4" s="34">
        <v>38</v>
      </c>
      <c r="AT4" s="34">
        <v>39</v>
      </c>
      <c r="AU4" s="35">
        <v>40</v>
      </c>
    </row>
    <row r="5" spans="2:47" s="38" customFormat="1" ht="20.100000000000001" customHeight="1" x14ac:dyDescent="0.2">
      <c r="B5" s="151"/>
      <c r="C5" s="152"/>
      <c r="D5" s="154"/>
      <c r="E5" s="136"/>
      <c r="F5" s="130"/>
      <c r="G5" s="36" t="s">
        <v>1</v>
      </c>
      <c r="H5" s="37">
        <v>1523</v>
      </c>
      <c r="I5" s="37">
        <v>1601</v>
      </c>
      <c r="J5" s="37">
        <v>1703</v>
      </c>
      <c r="K5" s="37">
        <v>805</v>
      </c>
      <c r="L5" s="37">
        <v>1720</v>
      </c>
      <c r="M5" s="37">
        <v>802</v>
      </c>
      <c r="N5" s="37">
        <v>512</v>
      </c>
      <c r="O5" s="37">
        <v>1215</v>
      </c>
      <c r="P5" s="37">
        <v>1809</v>
      </c>
      <c r="Q5" s="37">
        <v>1714</v>
      </c>
      <c r="R5" s="37">
        <v>1021</v>
      </c>
      <c r="S5" s="37">
        <v>1017</v>
      </c>
      <c r="T5" s="37">
        <v>1025</v>
      </c>
      <c r="U5" s="37">
        <v>719</v>
      </c>
      <c r="V5" s="37">
        <v>1025</v>
      </c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94"/>
      <c r="AL5" s="7"/>
      <c r="AM5" s="7"/>
      <c r="AN5" s="7"/>
      <c r="AO5" s="7"/>
      <c r="AP5" s="7"/>
      <c r="AQ5" s="7"/>
      <c r="AR5" s="7"/>
      <c r="AS5" s="7"/>
      <c r="AT5" s="7"/>
      <c r="AU5" s="9"/>
    </row>
    <row r="6" spans="2:47" s="38" customFormat="1" ht="30" customHeight="1" x14ac:dyDescent="0.2">
      <c r="B6" s="77" t="s">
        <v>12</v>
      </c>
      <c r="C6" s="62" t="s">
        <v>67</v>
      </c>
      <c r="D6" s="35" t="s">
        <v>53</v>
      </c>
      <c r="E6" s="39">
        <v>6000</v>
      </c>
      <c r="F6" s="12">
        <f>E6*G6</f>
        <v>18000</v>
      </c>
      <c r="G6" s="95">
        <f t="shared" ref="G6:G19" si="0">SUM(H6:AU6)</f>
        <v>3</v>
      </c>
      <c r="H6" s="40"/>
      <c r="I6" s="40"/>
      <c r="J6" s="40"/>
      <c r="K6" s="40"/>
      <c r="L6" s="40"/>
      <c r="M6" s="40"/>
      <c r="N6" s="40"/>
      <c r="O6" s="40"/>
      <c r="P6" s="40"/>
      <c r="Q6" s="40">
        <v>1</v>
      </c>
      <c r="R6" s="40"/>
      <c r="S6" s="40"/>
      <c r="T6" s="40"/>
      <c r="U6" s="40">
        <v>1</v>
      </c>
      <c r="V6" s="40">
        <v>1</v>
      </c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97"/>
      <c r="AL6" s="40"/>
      <c r="AM6" s="40"/>
      <c r="AN6" s="40"/>
      <c r="AO6" s="40"/>
      <c r="AP6" s="40"/>
      <c r="AQ6" s="40"/>
      <c r="AR6" s="40"/>
      <c r="AS6" s="40"/>
      <c r="AT6" s="40"/>
      <c r="AU6" s="41"/>
    </row>
    <row r="7" spans="2:47" s="38" customFormat="1" ht="30" customHeight="1" x14ac:dyDescent="0.2">
      <c r="B7" s="78" t="s">
        <v>13</v>
      </c>
      <c r="C7" s="63" t="s">
        <v>54</v>
      </c>
      <c r="D7" s="64"/>
      <c r="E7" s="42">
        <v>6500</v>
      </c>
      <c r="F7" s="18">
        <f t="shared" ref="F7:F19" si="1">E7*G7</f>
        <v>26000</v>
      </c>
      <c r="G7" s="95">
        <f t="shared" si="0"/>
        <v>4</v>
      </c>
      <c r="H7" s="43"/>
      <c r="I7" s="43"/>
      <c r="J7" s="43"/>
      <c r="K7" s="43">
        <v>1</v>
      </c>
      <c r="L7" s="43"/>
      <c r="M7" s="43"/>
      <c r="N7" s="43"/>
      <c r="O7" s="43"/>
      <c r="P7" s="43"/>
      <c r="Q7" s="43">
        <v>1</v>
      </c>
      <c r="R7" s="43">
        <v>1</v>
      </c>
      <c r="S7" s="43"/>
      <c r="T7" s="43"/>
      <c r="U7" s="43">
        <v>1</v>
      </c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98"/>
      <c r="AL7" s="43"/>
      <c r="AM7" s="43"/>
      <c r="AN7" s="43"/>
      <c r="AO7" s="43"/>
      <c r="AP7" s="43"/>
      <c r="AQ7" s="43"/>
      <c r="AR7" s="43"/>
      <c r="AS7" s="43"/>
      <c r="AT7" s="43"/>
      <c r="AU7" s="44"/>
    </row>
    <row r="8" spans="2:47" s="38" customFormat="1" ht="30" customHeight="1" x14ac:dyDescent="0.2">
      <c r="B8" s="78" t="s">
        <v>14</v>
      </c>
      <c r="C8" s="63" t="s">
        <v>65</v>
      </c>
      <c r="D8" s="64"/>
      <c r="E8" s="42">
        <v>7000</v>
      </c>
      <c r="F8" s="18">
        <f t="shared" si="1"/>
        <v>21000</v>
      </c>
      <c r="G8" s="95">
        <f t="shared" si="0"/>
        <v>3</v>
      </c>
      <c r="H8" s="43"/>
      <c r="I8" s="43"/>
      <c r="J8" s="43"/>
      <c r="K8" s="43">
        <v>1</v>
      </c>
      <c r="L8" s="43"/>
      <c r="M8" s="43">
        <v>1</v>
      </c>
      <c r="N8" s="43"/>
      <c r="O8" s="43"/>
      <c r="P8" s="43"/>
      <c r="Q8" s="43"/>
      <c r="R8" s="43"/>
      <c r="S8" s="43"/>
      <c r="T8" s="43"/>
      <c r="U8" s="43">
        <v>1</v>
      </c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98"/>
      <c r="AL8" s="43"/>
      <c r="AM8" s="43"/>
      <c r="AN8" s="43"/>
      <c r="AO8" s="43"/>
      <c r="AP8" s="43"/>
      <c r="AQ8" s="43"/>
      <c r="AR8" s="43"/>
      <c r="AS8" s="43"/>
      <c r="AT8" s="43"/>
      <c r="AU8" s="44"/>
    </row>
    <row r="9" spans="2:47" s="38" customFormat="1" ht="30" customHeight="1" x14ac:dyDescent="0.2">
      <c r="B9" s="78" t="s">
        <v>15</v>
      </c>
      <c r="C9" s="63" t="s">
        <v>57</v>
      </c>
      <c r="D9" s="64"/>
      <c r="E9" s="42">
        <v>5500</v>
      </c>
      <c r="F9" s="18">
        <f t="shared" si="1"/>
        <v>27500</v>
      </c>
      <c r="G9" s="95">
        <f t="shared" si="0"/>
        <v>5</v>
      </c>
      <c r="H9" s="43"/>
      <c r="I9" s="43">
        <v>1</v>
      </c>
      <c r="J9" s="43"/>
      <c r="K9" s="43"/>
      <c r="L9" s="43"/>
      <c r="M9" s="43"/>
      <c r="N9" s="43">
        <v>2</v>
      </c>
      <c r="O9" s="43"/>
      <c r="P9" s="43"/>
      <c r="Q9" s="43"/>
      <c r="R9" s="43"/>
      <c r="S9" s="43">
        <v>1</v>
      </c>
      <c r="T9" s="43">
        <v>1</v>
      </c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98"/>
      <c r="AL9" s="43"/>
      <c r="AM9" s="43"/>
      <c r="AN9" s="43"/>
      <c r="AO9" s="43"/>
      <c r="AP9" s="43"/>
      <c r="AQ9" s="43"/>
      <c r="AR9" s="43"/>
      <c r="AS9" s="43"/>
      <c r="AT9" s="43"/>
      <c r="AU9" s="44"/>
    </row>
    <row r="10" spans="2:47" s="38" customFormat="1" ht="30" customHeight="1" x14ac:dyDescent="0.2">
      <c r="B10" s="78" t="s">
        <v>16</v>
      </c>
      <c r="C10" s="63" t="s">
        <v>58</v>
      </c>
      <c r="D10" s="64"/>
      <c r="E10" s="42">
        <v>4000</v>
      </c>
      <c r="F10" s="18">
        <f t="shared" si="1"/>
        <v>4000</v>
      </c>
      <c r="G10" s="95">
        <f t="shared" si="0"/>
        <v>1</v>
      </c>
      <c r="H10" s="43">
        <v>1</v>
      </c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98"/>
      <c r="AL10" s="43"/>
      <c r="AM10" s="43"/>
      <c r="AN10" s="43"/>
      <c r="AO10" s="43"/>
      <c r="AP10" s="43"/>
      <c r="AQ10" s="43"/>
      <c r="AR10" s="43"/>
      <c r="AS10" s="43"/>
      <c r="AT10" s="43"/>
      <c r="AU10" s="44"/>
    </row>
    <row r="11" spans="2:47" s="38" customFormat="1" ht="30" customHeight="1" x14ac:dyDescent="0.2">
      <c r="B11" s="78" t="s">
        <v>17</v>
      </c>
      <c r="C11" s="63" t="s">
        <v>59</v>
      </c>
      <c r="D11" s="64"/>
      <c r="E11" s="42">
        <v>4000</v>
      </c>
      <c r="F11" s="18">
        <f t="shared" si="1"/>
        <v>12000</v>
      </c>
      <c r="G11" s="95">
        <f t="shared" si="0"/>
        <v>3</v>
      </c>
      <c r="H11" s="43"/>
      <c r="I11" s="43"/>
      <c r="J11" s="43">
        <v>1</v>
      </c>
      <c r="K11" s="43"/>
      <c r="L11" s="43"/>
      <c r="M11" s="43"/>
      <c r="N11" s="43"/>
      <c r="O11" s="43">
        <v>1</v>
      </c>
      <c r="P11" s="43">
        <v>1</v>
      </c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98"/>
      <c r="AL11" s="43"/>
      <c r="AM11" s="43"/>
      <c r="AN11" s="43"/>
      <c r="AO11" s="43"/>
      <c r="AP11" s="43"/>
      <c r="AQ11" s="43"/>
      <c r="AR11" s="43"/>
      <c r="AS11" s="43"/>
      <c r="AT11" s="43"/>
      <c r="AU11" s="44"/>
    </row>
    <row r="12" spans="2:47" s="38" customFormat="1" ht="30" customHeight="1" x14ac:dyDescent="0.2">
      <c r="B12" s="78" t="s">
        <v>18</v>
      </c>
      <c r="C12" s="63" t="s">
        <v>60</v>
      </c>
      <c r="D12" s="64"/>
      <c r="E12" s="42">
        <v>4000</v>
      </c>
      <c r="F12" s="18">
        <f t="shared" si="1"/>
        <v>4000</v>
      </c>
      <c r="G12" s="95">
        <f t="shared" si="0"/>
        <v>1</v>
      </c>
      <c r="H12" s="43"/>
      <c r="I12" s="43">
        <v>1</v>
      </c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98"/>
      <c r="AL12" s="43"/>
      <c r="AM12" s="43"/>
      <c r="AN12" s="43"/>
      <c r="AO12" s="43"/>
      <c r="AP12" s="43"/>
      <c r="AQ12" s="43"/>
      <c r="AR12" s="43"/>
      <c r="AS12" s="43"/>
      <c r="AT12" s="43"/>
      <c r="AU12" s="44"/>
    </row>
    <row r="13" spans="2:47" s="38" customFormat="1" ht="30" customHeight="1" x14ac:dyDescent="0.2">
      <c r="B13" s="78" t="s">
        <v>19</v>
      </c>
      <c r="C13" s="63" t="s">
        <v>59</v>
      </c>
      <c r="D13" s="64"/>
      <c r="E13" s="42">
        <v>5000</v>
      </c>
      <c r="F13" s="18">
        <f t="shared" si="1"/>
        <v>0</v>
      </c>
      <c r="G13" s="95">
        <f t="shared" si="0"/>
        <v>0</v>
      </c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99"/>
      <c r="AL13" s="43"/>
      <c r="AM13" s="43"/>
      <c r="AN13" s="43"/>
      <c r="AO13" s="43"/>
      <c r="AP13" s="43"/>
      <c r="AQ13" s="43"/>
      <c r="AR13" s="43"/>
      <c r="AS13" s="43"/>
      <c r="AT13" s="43"/>
      <c r="AU13" s="44"/>
    </row>
    <row r="14" spans="2:47" s="38" customFormat="1" ht="30" customHeight="1" x14ac:dyDescent="0.2">
      <c r="B14" s="78" t="s">
        <v>20</v>
      </c>
      <c r="C14" s="63" t="s">
        <v>53</v>
      </c>
      <c r="D14" s="64"/>
      <c r="E14" s="42">
        <v>7000</v>
      </c>
      <c r="F14" s="18">
        <f t="shared" si="1"/>
        <v>0</v>
      </c>
      <c r="G14" s="95">
        <f t="shared" si="0"/>
        <v>0</v>
      </c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98"/>
      <c r="AL14" s="43"/>
      <c r="AM14" s="43"/>
      <c r="AN14" s="43"/>
      <c r="AO14" s="43"/>
      <c r="AP14" s="43"/>
      <c r="AQ14" s="43"/>
      <c r="AR14" s="43"/>
      <c r="AS14" s="43"/>
      <c r="AT14" s="43"/>
      <c r="AU14" s="44"/>
    </row>
    <row r="15" spans="2:47" s="38" customFormat="1" ht="30" customHeight="1" x14ac:dyDescent="0.2">
      <c r="B15" s="78" t="s">
        <v>21</v>
      </c>
      <c r="C15" s="63" t="s">
        <v>66</v>
      </c>
      <c r="D15" s="64"/>
      <c r="E15" s="42">
        <v>7000</v>
      </c>
      <c r="F15" s="18">
        <f t="shared" si="1"/>
        <v>14000</v>
      </c>
      <c r="G15" s="95">
        <f t="shared" si="0"/>
        <v>2</v>
      </c>
      <c r="H15" s="43"/>
      <c r="I15" s="43"/>
      <c r="J15" s="43"/>
      <c r="K15" s="43"/>
      <c r="L15" s="43">
        <v>1</v>
      </c>
      <c r="M15" s="43"/>
      <c r="N15" s="43"/>
      <c r="O15" s="43"/>
      <c r="P15" s="43"/>
      <c r="Q15" s="43"/>
      <c r="R15" s="43"/>
      <c r="S15" s="43"/>
      <c r="T15" s="43"/>
      <c r="U15" s="43">
        <v>1</v>
      </c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98"/>
      <c r="AL15" s="43"/>
      <c r="AM15" s="43"/>
      <c r="AN15" s="43"/>
      <c r="AO15" s="43"/>
      <c r="AP15" s="43"/>
      <c r="AQ15" s="43"/>
      <c r="AR15" s="43"/>
      <c r="AS15" s="43"/>
      <c r="AT15" s="43"/>
      <c r="AU15" s="44"/>
    </row>
    <row r="16" spans="2:47" s="38" customFormat="1" ht="30" customHeight="1" x14ac:dyDescent="0.2">
      <c r="B16" s="78" t="s">
        <v>22</v>
      </c>
      <c r="C16" s="63"/>
      <c r="D16" s="64"/>
      <c r="E16" s="42">
        <v>7000</v>
      </c>
      <c r="F16" s="18">
        <f t="shared" si="1"/>
        <v>0</v>
      </c>
      <c r="G16" s="95">
        <f t="shared" si="0"/>
        <v>0</v>
      </c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98"/>
      <c r="AL16" s="43"/>
      <c r="AM16" s="43"/>
      <c r="AN16" s="43"/>
      <c r="AO16" s="43"/>
      <c r="AP16" s="43"/>
      <c r="AQ16" s="43"/>
      <c r="AR16" s="43"/>
      <c r="AS16" s="43"/>
      <c r="AT16" s="43"/>
      <c r="AU16" s="44"/>
    </row>
    <row r="17" spans="2:47" s="38" customFormat="1" ht="30" customHeight="1" x14ac:dyDescent="0.2">
      <c r="B17" s="78" t="s">
        <v>23</v>
      </c>
      <c r="C17" s="63"/>
      <c r="D17" s="64"/>
      <c r="E17" s="42">
        <v>7000</v>
      </c>
      <c r="F17" s="18">
        <f t="shared" si="1"/>
        <v>0</v>
      </c>
      <c r="G17" s="95">
        <f t="shared" si="0"/>
        <v>0</v>
      </c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98"/>
      <c r="AL17" s="43"/>
      <c r="AM17" s="43"/>
      <c r="AN17" s="43"/>
      <c r="AO17" s="43"/>
      <c r="AP17" s="43"/>
      <c r="AQ17" s="43"/>
      <c r="AR17" s="43"/>
      <c r="AS17" s="43"/>
      <c r="AT17" s="43"/>
      <c r="AU17" s="44"/>
    </row>
    <row r="18" spans="2:47" s="38" customFormat="1" ht="30" customHeight="1" x14ac:dyDescent="0.2">
      <c r="B18" s="78" t="s">
        <v>24</v>
      </c>
      <c r="C18" s="63"/>
      <c r="D18" s="64"/>
      <c r="E18" s="42">
        <v>7000</v>
      </c>
      <c r="F18" s="18">
        <f t="shared" si="1"/>
        <v>0</v>
      </c>
      <c r="G18" s="95">
        <f t="shared" si="0"/>
        <v>0</v>
      </c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99"/>
      <c r="AL18" s="43"/>
      <c r="AM18" s="43"/>
      <c r="AN18" s="43"/>
      <c r="AO18" s="43"/>
      <c r="AP18" s="43"/>
      <c r="AQ18" s="43"/>
      <c r="AR18" s="43"/>
      <c r="AS18" s="43"/>
      <c r="AT18" s="43"/>
      <c r="AU18" s="44"/>
    </row>
    <row r="19" spans="2:47" s="38" customFormat="1" ht="30" customHeight="1" x14ac:dyDescent="0.2">
      <c r="B19" s="79" t="s">
        <v>25</v>
      </c>
      <c r="C19" s="65"/>
      <c r="D19" s="9"/>
      <c r="E19" s="61">
        <v>7000</v>
      </c>
      <c r="F19" s="50">
        <f t="shared" si="1"/>
        <v>0</v>
      </c>
      <c r="G19" s="95">
        <f t="shared" si="0"/>
        <v>0</v>
      </c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98"/>
      <c r="AL19" s="45"/>
      <c r="AM19" s="45"/>
      <c r="AN19" s="45"/>
      <c r="AO19" s="45"/>
      <c r="AP19" s="45"/>
      <c r="AQ19" s="45"/>
      <c r="AR19" s="45"/>
      <c r="AS19" s="45"/>
      <c r="AT19" s="45"/>
      <c r="AU19" s="60"/>
    </row>
    <row r="20" spans="2:47" s="38" customFormat="1" ht="20.100000000000001" customHeight="1" x14ac:dyDescent="0.2">
      <c r="B20" s="139" t="s">
        <v>8</v>
      </c>
      <c r="C20" s="140"/>
      <c r="D20" s="144"/>
      <c r="E20" s="146">
        <f>SUM(E6:E8,E10:E15)+E9*2</f>
        <v>61500</v>
      </c>
      <c r="F20" s="125">
        <f t="shared" ref="F20:X20" si="2">SUM(F6:F19)</f>
        <v>126500</v>
      </c>
      <c r="G20" s="125">
        <f t="shared" si="2"/>
        <v>22</v>
      </c>
      <c r="H20" s="23">
        <f t="shared" si="2"/>
        <v>1</v>
      </c>
      <c r="I20" s="23">
        <f t="shared" si="2"/>
        <v>2</v>
      </c>
      <c r="J20" s="23">
        <f t="shared" si="2"/>
        <v>1</v>
      </c>
      <c r="K20" s="23">
        <f t="shared" si="2"/>
        <v>2</v>
      </c>
      <c r="L20" s="23">
        <f t="shared" si="2"/>
        <v>1</v>
      </c>
      <c r="M20" s="23">
        <f t="shared" si="2"/>
        <v>1</v>
      </c>
      <c r="N20" s="23">
        <f t="shared" si="2"/>
        <v>2</v>
      </c>
      <c r="O20" s="23">
        <f t="shared" si="2"/>
        <v>1</v>
      </c>
      <c r="P20" s="23">
        <f t="shared" si="2"/>
        <v>1</v>
      </c>
      <c r="Q20" s="23">
        <f t="shared" si="2"/>
        <v>2</v>
      </c>
      <c r="R20" s="23">
        <f t="shared" si="2"/>
        <v>1</v>
      </c>
      <c r="S20" s="23">
        <f t="shared" si="2"/>
        <v>1</v>
      </c>
      <c r="T20" s="23">
        <f t="shared" si="2"/>
        <v>1</v>
      </c>
      <c r="U20" s="23">
        <f t="shared" si="2"/>
        <v>4</v>
      </c>
      <c r="V20" s="23">
        <f t="shared" si="2"/>
        <v>1</v>
      </c>
      <c r="W20" s="23">
        <f t="shared" si="2"/>
        <v>0</v>
      </c>
      <c r="X20" s="23">
        <f t="shared" si="2"/>
        <v>0</v>
      </c>
      <c r="Y20" s="23">
        <f t="shared" ref="Y20:AH20" si="3">SUM(Y6:Y19)</f>
        <v>0</v>
      </c>
      <c r="Z20" s="23">
        <f t="shared" si="3"/>
        <v>0</v>
      </c>
      <c r="AA20" s="23">
        <f t="shared" si="3"/>
        <v>0</v>
      </c>
      <c r="AB20" s="23">
        <f t="shared" si="3"/>
        <v>0</v>
      </c>
      <c r="AC20" s="23">
        <f t="shared" si="3"/>
        <v>0</v>
      </c>
      <c r="AD20" s="23">
        <f t="shared" si="3"/>
        <v>0</v>
      </c>
      <c r="AE20" s="23">
        <f t="shared" si="3"/>
        <v>0</v>
      </c>
      <c r="AF20" s="23">
        <f t="shared" si="3"/>
        <v>0</v>
      </c>
      <c r="AG20" s="23">
        <f t="shared" si="3"/>
        <v>0</v>
      </c>
      <c r="AH20" s="23">
        <f t="shared" si="3"/>
        <v>0</v>
      </c>
      <c r="AI20" s="23">
        <f>SUM(AI6:AI19)</f>
        <v>0</v>
      </c>
      <c r="AJ20" s="23">
        <f>SUM(AJ6:AJ19)</f>
        <v>0</v>
      </c>
      <c r="AK20" s="100">
        <f>SUM(AK6:AK19)</f>
        <v>0</v>
      </c>
      <c r="AL20" s="101">
        <f>SUM(AL6:AL19)</f>
        <v>0</v>
      </c>
      <c r="AM20" s="101">
        <f t="shared" ref="AM20:AU20" si="4">SUM(AM6:AM19)</f>
        <v>0</v>
      </c>
      <c r="AN20" s="101">
        <f t="shared" si="4"/>
        <v>0</v>
      </c>
      <c r="AO20" s="101">
        <f t="shared" si="4"/>
        <v>0</v>
      </c>
      <c r="AP20" s="101">
        <f t="shared" si="4"/>
        <v>0</v>
      </c>
      <c r="AQ20" s="101">
        <f t="shared" si="4"/>
        <v>0</v>
      </c>
      <c r="AR20" s="101">
        <f t="shared" si="4"/>
        <v>0</v>
      </c>
      <c r="AS20" s="101">
        <f t="shared" si="4"/>
        <v>0</v>
      </c>
      <c r="AT20" s="101">
        <f t="shared" si="4"/>
        <v>0</v>
      </c>
      <c r="AU20" s="102">
        <f t="shared" si="4"/>
        <v>0</v>
      </c>
    </row>
    <row r="21" spans="2:47" s="38" customFormat="1" ht="20.100000000000001" customHeight="1" x14ac:dyDescent="0.2">
      <c r="B21" s="141"/>
      <c r="C21" s="142"/>
      <c r="D21" s="145"/>
      <c r="E21" s="147"/>
      <c r="F21" s="126"/>
      <c r="G21" s="126"/>
      <c r="H21" s="46">
        <f>$E6*H6+$E7*H7+$E8*H8+$E9*H9+$E10*H10+$E11*H11+$E12*H12+$E14*H14+$E15*H15+$E16*H16+$E17*H17+$E18*H18+$E19*H19+$E13*H13</f>
        <v>4000</v>
      </c>
      <c r="I21" s="28">
        <f t="shared" ref="I21:AK21" si="5">$E6*I6+$E7*I7+$E8*I8+$E9*I9+$E10*I10+$E11*I11+$E12*I12+$E14*I14+$E15*I15+$E16*I16+$E17*I17+$E18*I18+$E19*I19+$E13*I13</f>
        <v>9500</v>
      </c>
      <c r="J21" s="28">
        <f t="shared" si="5"/>
        <v>4000</v>
      </c>
      <c r="K21" s="28">
        <f t="shared" si="5"/>
        <v>13500</v>
      </c>
      <c r="L21" s="28">
        <f t="shared" si="5"/>
        <v>7000</v>
      </c>
      <c r="M21" s="28">
        <f t="shared" si="5"/>
        <v>7000</v>
      </c>
      <c r="N21" s="28">
        <f t="shared" si="5"/>
        <v>11000</v>
      </c>
      <c r="O21" s="28">
        <f t="shared" si="5"/>
        <v>4000</v>
      </c>
      <c r="P21" s="28">
        <f t="shared" si="5"/>
        <v>4000</v>
      </c>
      <c r="Q21" s="28">
        <f t="shared" si="5"/>
        <v>12500</v>
      </c>
      <c r="R21" s="28">
        <f t="shared" si="5"/>
        <v>6500</v>
      </c>
      <c r="S21" s="28">
        <f t="shared" si="5"/>
        <v>5500</v>
      </c>
      <c r="T21" s="28">
        <f t="shared" si="5"/>
        <v>5500</v>
      </c>
      <c r="U21" s="28">
        <f t="shared" si="5"/>
        <v>26500</v>
      </c>
      <c r="V21" s="28">
        <f t="shared" si="5"/>
        <v>6000</v>
      </c>
      <c r="W21" s="28">
        <f t="shared" si="5"/>
        <v>0</v>
      </c>
      <c r="X21" s="28">
        <f t="shared" si="5"/>
        <v>0</v>
      </c>
      <c r="Y21" s="28">
        <f t="shared" si="5"/>
        <v>0</v>
      </c>
      <c r="Z21" s="28">
        <f t="shared" si="5"/>
        <v>0</v>
      </c>
      <c r="AA21" s="28">
        <f t="shared" si="5"/>
        <v>0</v>
      </c>
      <c r="AB21" s="28">
        <f t="shared" si="5"/>
        <v>0</v>
      </c>
      <c r="AC21" s="28">
        <f t="shared" si="5"/>
        <v>0</v>
      </c>
      <c r="AD21" s="28">
        <f t="shared" si="5"/>
        <v>0</v>
      </c>
      <c r="AE21" s="28">
        <f t="shared" si="5"/>
        <v>0</v>
      </c>
      <c r="AF21" s="28">
        <f t="shared" si="5"/>
        <v>0</v>
      </c>
      <c r="AG21" s="28">
        <f t="shared" si="5"/>
        <v>0</v>
      </c>
      <c r="AH21" s="28">
        <f t="shared" si="5"/>
        <v>0</v>
      </c>
      <c r="AI21" s="28">
        <f t="shared" si="5"/>
        <v>0</v>
      </c>
      <c r="AJ21" s="28">
        <f t="shared" si="5"/>
        <v>0</v>
      </c>
      <c r="AK21" s="74">
        <f t="shared" si="5"/>
        <v>0</v>
      </c>
      <c r="AL21" s="28">
        <f>$E6*AL6+$E7*AL7+$E8*AL8+$E9*AL9+$E10*AL10+$E11*AL11+$E12*AL12+$E14*AL14+$E15*AL15+$E16*AL16+$E17*AL17+$E18*AL18+$E19*AL19+$E13*AL13</f>
        <v>0</v>
      </c>
      <c r="AM21" s="28">
        <f>$E6*AM6+$E7*AM7+$E8*AM8+$E9*AM9+$E10*AM10+$E11*AM11+$E12*AM12+$E14*AM14+$E15*AM15+$E16*AM16+$E17*AM17+$E18*AM18+$E19*AM19+$E13*AM13</f>
        <v>0</v>
      </c>
      <c r="AN21" s="28">
        <f>$E6*AN6+$E7*AN7+$E8*AN8+$E9*AN9+$E10*AN10+$E11*AN11+$E12*AN12+$E14*AN14+$E15*AN15+$E16*AN16+$E17*AN17+$E18*AN18+$E19*AN19+$E13*AN13</f>
        <v>0</v>
      </c>
      <c r="AO21" s="28">
        <f t="shared" ref="AO21:AU21" si="6">$E6*AO6+$E7*AO7+$E8*AO8+$E9*AO9+$E10*AO10+$E11*AO11+$E12*AO12+$E14*AO14+$E15*AO15+$E16*AO16+$E17*AO17+$E18*AO18+$E19*AO19+$E13*AO13</f>
        <v>0</v>
      </c>
      <c r="AP21" s="28">
        <f t="shared" si="6"/>
        <v>0</v>
      </c>
      <c r="AQ21" s="28">
        <f t="shared" si="6"/>
        <v>0</v>
      </c>
      <c r="AR21" s="28">
        <f t="shared" si="6"/>
        <v>0</v>
      </c>
      <c r="AS21" s="28">
        <f t="shared" si="6"/>
        <v>0</v>
      </c>
      <c r="AT21" s="28">
        <f t="shared" si="6"/>
        <v>0</v>
      </c>
      <c r="AU21" s="29">
        <f t="shared" si="6"/>
        <v>0</v>
      </c>
    </row>
  </sheetData>
  <sheetProtection password="CC67" sheet="1" objects="1" scenarios="1"/>
  <mergeCells count="10">
    <mergeCell ref="B20:D21"/>
    <mergeCell ref="E20:E21"/>
    <mergeCell ref="F20:F21"/>
    <mergeCell ref="G20:G21"/>
    <mergeCell ref="B2:G2"/>
    <mergeCell ref="B4:B5"/>
    <mergeCell ref="C4:C5"/>
    <mergeCell ref="D4:D5"/>
    <mergeCell ref="E4:E5"/>
    <mergeCell ref="F4:F5"/>
  </mergeCells>
  <phoneticPr fontId="2" type="noConversion"/>
  <pageMargins left="0.7" right="0.7" top="0.75" bottom="0.75" header="0.3" footer="0.3"/>
  <pageSetup paperSize="9" scale="31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B1:AU21"/>
  <sheetViews>
    <sheetView showGridLines="0" zoomScale="85" zoomScaleNormal="85" workbookViewId="0">
      <pane xSplit="7" ySplit="5" topLeftCell="H6" activePane="bottomRight" state="frozen"/>
      <selection pane="topRight" activeCell="G1" sqref="G1"/>
      <selection pane="bottomLeft" activeCell="A6" sqref="A6"/>
      <selection pane="bottomRight" activeCell="C6" sqref="C6:D15"/>
    </sheetView>
  </sheetViews>
  <sheetFormatPr defaultColWidth="9.125" defaultRowHeight="14.25" x14ac:dyDescent="0.2"/>
  <cols>
    <col min="1" max="1" width="0.375" style="1" customWidth="1"/>
    <col min="2" max="2" width="16.875" style="1" bestFit="1" customWidth="1"/>
    <col min="3" max="4" width="13.625" style="1" customWidth="1"/>
    <col min="5" max="5" width="10.625" style="1" hidden="1" customWidth="1"/>
    <col min="6" max="6" width="10.625" style="1" customWidth="1"/>
    <col min="7" max="7" width="10.625" style="3" customWidth="1"/>
    <col min="8" max="22" width="10.625" style="4" customWidth="1"/>
    <col min="23" max="47" width="10.625" style="1" customWidth="1"/>
    <col min="48" max="16384" width="9.125" style="1"/>
  </cols>
  <sheetData>
    <row r="1" spans="2:47" ht="3.75" customHeight="1" x14ac:dyDescent="0.2"/>
    <row r="2" spans="2:47" ht="20.25" x14ac:dyDescent="0.2">
      <c r="B2" s="149" t="s">
        <v>26</v>
      </c>
      <c r="C2" s="149"/>
      <c r="D2" s="149"/>
      <c r="E2" s="149"/>
      <c r="F2" s="149"/>
      <c r="G2" s="149"/>
    </row>
    <row r="3" spans="2:47" ht="4.9000000000000004" customHeight="1" x14ac:dyDescent="0.2"/>
    <row r="4" spans="2:47" s="38" customFormat="1" ht="20.100000000000001" customHeight="1" x14ac:dyDescent="0.2">
      <c r="B4" s="150" t="s">
        <v>3</v>
      </c>
      <c r="C4" s="123" t="s">
        <v>45</v>
      </c>
      <c r="D4" s="153" t="s">
        <v>46</v>
      </c>
      <c r="E4" s="135" t="s">
        <v>4</v>
      </c>
      <c r="F4" s="129" t="s">
        <v>5</v>
      </c>
      <c r="G4" s="32" t="s">
        <v>0</v>
      </c>
      <c r="H4" s="33">
        <v>1</v>
      </c>
      <c r="I4" s="34">
        <v>2</v>
      </c>
      <c r="J4" s="34">
        <v>3</v>
      </c>
      <c r="K4" s="34">
        <v>4</v>
      </c>
      <c r="L4" s="34">
        <v>5</v>
      </c>
      <c r="M4" s="34">
        <v>6</v>
      </c>
      <c r="N4" s="34">
        <v>7</v>
      </c>
      <c r="O4" s="34">
        <v>8</v>
      </c>
      <c r="P4" s="34">
        <v>9</v>
      </c>
      <c r="Q4" s="34">
        <v>10</v>
      </c>
      <c r="R4" s="34">
        <v>11</v>
      </c>
      <c r="S4" s="34">
        <v>12</v>
      </c>
      <c r="T4" s="34">
        <v>13</v>
      </c>
      <c r="U4" s="34">
        <v>14</v>
      </c>
      <c r="V4" s="34">
        <v>15</v>
      </c>
      <c r="W4" s="34">
        <v>16</v>
      </c>
      <c r="X4" s="34">
        <v>17</v>
      </c>
      <c r="Y4" s="33">
        <v>18</v>
      </c>
      <c r="Z4" s="34">
        <v>19</v>
      </c>
      <c r="AA4" s="34">
        <v>20</v>
      </c>
      <c r="AB4" s="34">
        <v>21</v>
      </c>
      <c r="AC4" s="34">
        <v>22</v>
      </c>
      <c r="AD4" s="34">
        <v>23</v>
      </c>
      <c r="AE4" s="34">
        <v>24</v>
      </c>
      <c r="AF4" s="34">
        <v>25</v>
      </c>
      <c r="AG4" s="34">
        <v>26</v>
      </c>
      <c r="AH4" s="34">
        <v>27</v>
      </c>
      <c r="AI4" s="34">
        <v>28</v>
      </c>
      <c r="AJ4" s="34">
        <v>29</v>
      </c>
      <c r="AK4" s="96">
        <v>30</v>
      </c>
      <c r="AL4" s="34">
        <v>31</v>
      </c>
      <c r="AM4" s="34">
        <v>32</v>
      </c>
      <c r="AN4" s="34">
        <v>33</v>
      </c>
      <c r="AO4" s="34">
        <v>34</v>
      </c>
      <c r="AP4" s="34">
        <v>35</v>
      </c>
      <c r="AQ4" s="34">
        <v>36</v>
      </c>
      <c r="AR4" s="34">
        <v>37</v>
      </c>
      <c r="AS4" s="34">
        <v>38</v>
      </c>
      <c r="AT4" s="34">
        <v>39</v>
      </c>
      <c r="AU4" s="35">
        <v>40</v>
      </c>
    </row>
    <row r="5" spans="2:47" s="38" customFormat="1" ht="20.100000000000001" customHeight="1" x14ac:dyDescent="0.2">
      <c r="B5" s="151"/>
      <c r="C5" s="152"/>
      <c r="D5" s="154"/>
      <c r="E5" s="136"/>
      <c r="F5" s="130"/>
      <c r="G5" s="36" t="s">
        <v>1</v>
      </c>
      <c r="H5" s="37">
        <v>1005</v>
      </c>
      <c r="I5" s="37">
        <v>1606</v>
      </c>
      <c r="J5" s="37">
        <v>1605</v>
      </c>
      <c r="K5" s="37">
        <v>914</v>
      </c>
      <c r="L5" s="37">
        <v>1624</v>
      </c>
      <c r="M5" s="37">
        <v>1603</v>
      </c>
      <c r="N5" s="37">
        <v>1809</v>
      </c>
      <c r="O5" s="37">
        <v>608</v>
      </c>
      <c r="P5" s="37">
        <v>1129</v>
      </c>
      <c r="Q5" s="37">
        <v>1501</v>
      </c>
      <c r="R5" s="37">
        <v>1628</v>
      </c>
      <c r="S5" s="37">
        <v>826</v>
      </c>
      <c r="T5" s="37">
        <v>1220</v>
      </c>
      <c r="U5" s="37">
        <v>1506</v>
      </c>
      <c r="V5" s="37">
        <v>1527</v>
      </c>
      <c r="W5" s="37">
        <v>1022</v>
      </c>
      <c r="X5" s="37">
        <v>1027</v>
      </c>
      <c r="Y5" s="37">
        <v>1002</v>
      </c>
      <c r="Z5" s="37">
        <v>727</v>
      </c>
      <c r="AA5" s="37">
        <v>1105</v>
      </c>
      <c r="AB5" s="37"/>
      <c r="AC5" s="37"/>
      <c r="AD5" s="37"/>
      <c r="AE5" s="37"/>
      <c r="AF5" s="37"/>
      <c r="AG5" s="37"/>
      <c r="AH5" s="37"/>
      <c r="AI5" s="37"/>
      <c r="AJ5" s="37"/>
      <c r="AK5" s="94"/>
      <c r="AL5" s="7"/>
      <c r="AM5" s="7"/>
      <c r="AN5" s="7"/>
      <c r="AO5" s="7"/>
      <c r="AP5" s="7"/>
      <c r="AQ5" s="7"/>
      <c r="AR5" s="7"/>
      <c r="AS5" s="7"/>
      <c r="AT5" s="7"/>
      <c r="AU5" s="9"/>
    </row>
    <row r="6" spans="2:47" s="38" customFormat="1" ht="30" customHeight="1" x14ac:dyDescent="0.2">
      <c r="B6" s="77" t="s">
        <v>12</v>
      </c>
      <c r="C6" s="62" t="s">
        <v>67</v>
      </c>
      <c r="D6" s="35" t="s">
        <v>53</v>
      </c>
      <c r="E6" s="39">
        <v>6000</v>
      </c>
      <c r="F6" s="12">
        <f>E6*G6</f>
        <v>48000</v>
      </c>
      <c r="G6" s="95">
        <f t="shared" ref="G6:G19" si="0">SUM(H6:AU6)</f>
        <v>8</v>
      </c>
      <c r="H6" s="40"/>
      <c r="I6" s="40"/>
      <c r="J6" s="40">
        <v>1</v>
      </c>
      <c r="K6" s="40"/>
      <c r="L6" s="40">
        <v>1</v>
      </c>
      <c r="M6" s="40"/>
      <c r="N6" s="40"/>
      <c r="O6" s="40"/>
      <c r="P6" s="40"/>
      <c r="Q6" s="40">
        <v>1</v>
      </c>
      <c r="R6" s="40"/>
      <c r="S6" s="40"/>
      <c r="T6" s="40">
        <v>1</v>
      </c>
      <c r="U6" s="40">
        <v>1</v>
      </c>
      <c r="V6" s="40"/>
      <c r="W6" s="40">
        <v>1</v>
      </c>
      <c r="X6" s="40"/>
      <c r="Y6" s="40">
        <v>1</v>
      </c>
      <c r="Z6" s="40">
        <v>1</v>
      </c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97"/>
      <c r="AL6" s="40"/>
      <c r="AM6" s="40"/>
      <c r="AN6" s="40"/>
      <c r="AO6" s="40"/>
      <c r="AP6" s="40"/>
      <c r="AQ6" s="40"/>
      <c r="AR6" s="40"/>
      <c r="AS6" s="40"/>
      <c r="AT6" s="40"/>
      <c r="AU6" s="41"/>
    </row>
    <row r="7" spans="2:47" s="38" customFormat="1" ht="30" customHeight="1" x14ac:dyDescent="0.2">
      <c r="B7" s="78" t="s">
        <v>13</v>
      </c>
      <c r="C7" s="63" t="s">
        <v>54</v>
      </c>
      <c r="D7" s="64"/>
      <c r="E7" s="42">
        <v>6500</v>
      </c>
      <c r="F7" s="18">
        <f t="shared" ref="F7:F19" si="1">E7*G7</f>
        <v>26000</v>
      </c>
      <c r="G7" s="95">
        <f t="shared" si="0"/>
        <v>4</v>
      </c>
      <c r="H7" s="43"/>
      <c r="I7" s="43"/>
      <c r="J7" s="43"/>
      <c r="K7" s="43">
        <v>1</v>
      </c>
      <c r="L7" s="43"/>
      <c r="M7" s="43"/>
      <c r="N7" s="43">
        <v>1</v>
      </c>
      <c r="O7" s="43">
        <v>1</v>
      </c>
      <c r="P7" s="43"/>
      <c r="Q7" s="43"/>
      <c r="R7" s="43"/>
      <c r="S7" s="43"/>
      <c r="T7" s="43"/>
      <c r="U7" s="43"/>
      <c r="V7" s="43"/>
      <c r="W7" s="43"/>
      <c r="X7" s="43"/>
      <c r="Y7" s="43">
        <v>1</v>
      </c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98"/>
      <c r="AL7" s="43"/>
      <c r="AM7" s="43"/>
      <c r="AN7" s="43"/>
      <c r="AO7" s="43"/>
      <c r="AP7" s="43"/>
      <c r="AQ7" s="43"/>
      <c r="AR7" s="43"/>
      <c r="AS7" s="43"/>
      <c r="AT7" s="43"/>
      <c r="AU7" s="44"/>
    </row>
    <row r="8" spans="2:47" s="38" customFormat="1" ht="30" customHeight="1" x14ac:dyDescent="0.2">
      <c r="B8" s="78" t="s">
        <v>14</v>
      </c>
      <c r="C8" s="63" t="s">
        <v>65</v>
      </c>
      <c r="D8" s="64"/>
      <c r="E8" s="42">
        <v>7000</v>
      </c>
      <c r="F8" s="18">
        <f t="shared" si="1"/>
        <v>0</v>
      </c>
      <c r="G8" s="95">
        <f t="shared" si="0"/>
        <v>0</v>
      </c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98"/>
      <c r="AL8" s="43"/>
      <c r="AM8" s="43"/>
      <c r="AN8" s="43"/>
      <c r="AO8" s="43"/>
      <c r="AP8" s="43"/>
      <c r="AQ8" s="43"/>
      <c r="AR8" s="43"/>
      <c r="AS8" s="43"/>
      <c r="AT8" s="43"/>
      <c r="AU8" s="44"/>
    </row>
    <row r="9" spans="2:47" s="38" customFormat="1" ht="30" customHeight="1" x14ac:dyDescent="0.2">
      <c r="B9" s="78" t="s">
        <v>15</v>
      </c>
      <c r="C9" s="63" t="s">
        <v>57</v>
      </c>
      <c r="D9" s="64"/>
      <c r="E9" s="42">
        <v>5500</v>
      </c>
      <c r="F9" s="18">
        <f t="shared" si="1"/>
        <v>88000</v>
      </c>
      <c r="G9" s="95">
        <f t="shared" si="0"/>
        <v>16</v>
      </c>
      <c r="H9" s="43"/>
      <c r="I9" s="43">
        <v>1</v>
      </c>
      <c r="J9" s="43">
        <v>2</v>
      </c>
      <c r="K9" s="43"/>
      <c r="L9" s="43">
        <v>1</v>
      </c>
      <c r="M9" s="43">
        <v>1</v>
      </c>
      <c r="N9" s="43"/>
      <c r="O9" s="43">
        <v>1</v>
      </c>
      <c r="P9" s="43">
        <v>1</v>
      </c>
      <c r="Q9" s="43"/>
      <c r="R9" s="43">
        <v>2</v>
      </c>
      <c r="S9" s="43"/>
      <c r="T9" s="43"/>
      <c r="U9" s="43"/>
      <c r="V9" s="43">
        <v>1</v>
      </c>
      <c r="W9" s="43">
        <v>1</v>
      </c>
      <c r="X9" s="43">
        <v>2</v>
      </c>
      <c r="Y9" s="43">
        <v>2</v>
      </c>
      <c r="Z9" s="43"/>
      <c r="AA9" s="43">
        <v>1</v>
      </c>
      <c r="AB9" s="43"/>
      <c r="AC9" s="43"/>
      <c r="AD9" s="43"/>
      <c r="AE9" s="43"/>
      <c r="AF9" s="43"/>
      <c r="AG9" s="43"/>
      <c r="AH9" s="43"/>
      <c r="AI9" s="43"/>
      <c r="AJ9" s="43"/>
      <c r="AK9" s="98"/>
      <c r="AL9" s="43"/>
      <c r="AM9" s="43"/>
      <c r="AN9" s="43"/>
      <c r="AO9" s="43"/>
      <c r="AP9" s="43"/>
      <c r="AQ9" s="43"/>
      <c r="AR9" s="43"/>
      <c r="AS9" s="43"/>
      <c r="AT9" s="43"/>
      <c r="AU9" s="44"/>
    </row>
    <row r="10" spans="2:47" s="38" customFormat="1" ht="30" customHeight="1" x14ac:dyDescent="0.2">
      <c r="B10" s="78" t="s">
        <v>16</v>
      </c>
      <c r="C10" s="63" t="s">
        <v>58</v>
      </c>
      <c r="D10" s="64"/>
      <c r="E10" s="42">
        <v>4000</v>
      </c>
      <c r="F10" s="18">
        <f t="shared" si="1"/>
        <v>8000</v>
      </c>
      <c r="G10" s="95">
        <f t="shared" si="0"/>
        <v>2</v>
      </c>
      <c r="H10" s="43"/>
      <c r="I10" s="43">
        <v>1</v>
      </c>
      <c r="J10" s="43"/>
      <c r="K10" s="43"/>
      <c r="L10" s="43"/>
      <c r="M10" s="43"/>
      <c r="N10" s="43"/>
      <c r="O10" s="43"/>
      <c r="P10" s="43"/>
      <c r="Q10" s="43"/>
      <c r="R10" s="43"/>
      <c r="S10" s="43">
        <v>1</v>
      </c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98"/>
      <c r="AL10" s="43"/>
      <c r="AM10" s="43"/>
      <c r="AN10" s="43"/>
      <c r="AO10" s="43"/>
      <c r="AP10" s="43"/>
      <c r="AQ10" s="43"/>
      <c r="AR10" s="43"/>
      <c r="AS10" s="43"/>
      <c r="AT10" s="43"/>
      <c r="AU10" s="44"/>
    </row>
    <row r="11" spans="2:47" s="38" customFormat="1" ht="30" customHeight="1" x14ac:dyDescent="0.2">
      <c r="B11" s="78" t="s">
        <v>17</v>
      </c>
      <c r="C11" s="63" t="s">
        <v>59</v>
      </c>
      <c r="D11" s="64"/>
      <c r="E11" s="42">
        <v>4000</v>
      </c>
      <c r="F11" s="18">
        <f t="shared" si="1"/>
        <v>4000</v>
      </c>
      <c r="G11" s="95">
        <f t="shared" si="0"/>
        <v>1</v>
      </c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>
        <v>1</v>
      </c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98"/>
      <c r="AL11" s="43"/>
      <c r="AM11" s="43"/>
      <c r="AN11" s="43"/>
      <c r="AO11" s="43"/>
      <c r="AP11" s="43"/>
      <c r="AQ11" s="43"/>
      <c r="AR11" s="43"/>
      <c r="AS11" s="43"/>
      <c r="AT11" s="43"/>
      <c r="AU11" s="44"/>
    </row>
    <row r="12" spans="2:47" s="38" customFormat="1" ht="30" customHeight="1" x14ac:dyDescent="0.2">
      <c r="B12" s="78" t="s">
        <v>18</v>
      </c>
      <c r="C12" s="63" t="s">
        <v>60</v>
      </c>
      <c r="D12" s="64"/>
      <c r="E12" s="42">
        <v>4000</v>
      </c>
      <c r="F12" s="18">
        <f t="shared" si="1"/>
        <v>0</v>
      </c>
      <c r="G12" s="95">
        <f t="shared" si="0"/>
        <v>0</v>
      </c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98"/>
      <c r="AL12" s="43"/>
      <c r="AM12" s="43"/>
      <c r="AN12" s="43"/>
      <c r="AO12" s="43"/>
      <c r="AP12" s="43"/>
      <c r="AQ12" s="43"/>
      <c r="AR12" s="43"/>
      <c r="AS12" s="43"/>
      <c r="AT12" s="43"/>
      <c r="AU12" s="44"/>
    </row>
    <row r="13" spans="2:47" s="38" customFormat="1" ht="30" customHeight="1" x14ac:dyDescent="0.2">
      <c r="B13" s="78" t="s">
        <v>19</v>
      </c>
      <c r="C13" s="63" t="s">
        <v>59</v>
      </c>
      <c r="D13" s="64"/>
      <c r="E13" s="42">
        <v>5000</v>
      </c>
      <c r="F13" s="18">
        <f t="shared" si="1"/>
        <v>10000</v>
      </c>
      <c r="G13" s="95">
        <f t="shared" si="0"/>
        <v>2</v>
      </c>
      <c r="H13" s="45">
        <v>1</v>
      </c>
      <c r="I13" s="45"/>
      <c r="J13" s="45"/>
      <c r="K13" s="45"/>
      <c r="L13" s="45">
        <v>1</v>
      </c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99"/>
      <c r="AL13" s="43"/>
      <c r="AM13" s="43"/>
      <c r="AN13" s="43"/>
      <c r="AO13" s="43"/>
      <c r="AP13" s="43"/>
      <c r="AQ13" s="43"/>
      <c r="AR13" s="43"/>
      <c r="AS13" s="43"/>
      <c r="AT13" s="43"/>
      <c r="AU13" s="44"/>
    </row>
    <row r="14" spans="2:47" s="38" customFormat="1" ht="30" customHeight="1" x14ac:dyDescent="0.2">
      <c r="B14" s="78" t="s">
        <v>20</v>
      </c>
      <c r="C14" s="63" t="s">
        <v>53</v>
      </c>
      <c r="D14" s="64"/>
      <c r="E14" s="42">
        <v>7000</v>
      </c>
      <c r="F14" s="18">
        <f t="shared" si="1"/>
        <v>7000</v>
      </c>
      <c r="G14" s="95">
        <f t="shared" si="0"/>
        <v>1</v>
      </c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>
        <v>1</v>
      </c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98"/>
      <c r="AL14" s="43"/>
      <c r="AM14" s="43"/>
      <c r="AN14" s="43"/>
      <c r="AO14" s="43"/>
      <c r="AP14" s="43"/>
      <c r="AQ14" s="43"/>
      <c r="AR14" s="43"/>
      <c r="AS14" s="43"/>
      <c r="AT14" s="43"/>
      <c r="AU14" s="44"/>
    </row>
    <row r="15" spans="2:47" s="38" customFormat="1" ht="30" customHeight="1" x14ac:dyDescent="0.2">
      <c r="B15" s="78" t="s">
        <v>21</v>
      </c>
      <c r="C15" s="63" t="s">
        <v>66</v>
      </c>
      <c r="D15" s="64"/>
      <c r="E15" s="42">
        <v>7000</v>
      </c>
      <c r="F15" s="18">
        <f t="shared" si="1"/>
        <v>7000</v>
      </c>
      <c r="G15" s="95">
        <f t="shared" si="0"/>
        <v>1</v>
      </c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>
        <v>1</v>
      </c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98"/>
      <c r="AL15" s="43"/>
      <c r="AM15" s="43"/>
      <c r="AN15" s="43"/>
      <c r="AO15" s="43"/>
      <c r="AP15" s="43"/>
      <c r="AQ15" s="43"/>
      <c r="AR15" s="43"/>
      <c r="AS15" s="43"/>
      <c r="AT15" s="43"/>
      <c r="AU15" s="44"/>
    </row>
    <row r="16" spans="2:47" s="38" customFormat="1" ht="30" customHeight="1" x14ac:dyDescent="0.2">
      <c r="B16" s="78" t="s">
        <v>22</v>
      </c>
      <c r="C16" s="63"/>
      <c r="D16" s="64"/>
      <c r="E16" s="42">
        <v>7000</v>
      </c>
      <c r="F16" s="18">
        <f t="shared" si="1"/>
        <v>0</v>
      </c>
      <c r="G16" s="95">
        <f t="shared" si="0"/>
        <v>0</v>
      </c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98"/>
      <c r="AL16" s="43"/>
      <c r="AM16" s="43"/>
      <c r="AN16" s="43"/>
      <c r="AO16" s="43"/>
      <c r="AP16" s="43"/>
      <c r="AQ16" s="43"/>
      <c r="AR16" s="43"/>
      <c r="AS16" s="43"/>
      <c r="AT16" s="43"/>
      <c r="AU16" s="44"/>
    </row>
    <row r="17" spans="2:47" s="38" customFormat="1" ht="30" customHeight="1" x14ac:dyDescent="0.2">
      <c r="B17" s="78" t="s">
        <v>23</v>
      </c>
      <c r="C17" s="63"/>
      <c r="D17" s="64"/>
      <c r="E17" s="42">
        <v>7000</v>
      </c>
      <c r="F17" s="18">
        <f t="shared" si="1"/>
        <v>0</v>
      </c>
      <c r="G17" s="95">
        <f t="shared" si="0"/>
        <v>0</v>
      </c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98"/>
      <c r="AL17" s="43"/>
      <c r="AM17" s="43"/>
      <c r="AN17" s="43"/>
      <c r="AO17" s="43"/>
      <c r="AP17" s="43"/>
      <c r="AQ17" s="43"/>
      <c r="AR17" s="43"/>
      <c r="AS17" s="43"/>
      <c r="AT17" s="43"/>
      <c r="AU17" s="44"/>
    </row>
    <row r="18" spans="2:47" s="38" customFormat="1" ht="30" customHeight="1" x14ac:dyDescent="0.2">
      <c r="B18" s="78" t="s">
        <v>24</v>
      </c>
      <c r="C18" s="63"/>
      <c r="D18" s="64"/>
      <c r="E18" s="42">
        <v>7000</v>
      </c>
      <c r="F18" s="18">
        <f t="shared" si="1"/>
        <v>0</v>
      </c>
      <c r="G18" s="95">
        <f t="shared" si="0"/>
        <v>0</v>
      </c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99"/>
      <c r="AL18" s="43"/>
      <c r="AM18" s="43"/>
      <c r="AN18" s="43"/>
      <c r="AO18" s="43"/>
      <c r="AP18" s="43"/>
      <c r="AQ18" s="43"/>
      <c r="AR18" s="43"/>
      <c r="AS18" s="43"/>
      <c r="AT18" s="43"/>
      <c r="AU18" s="44"/>
    </row>
    <row r="19" spans="2:47" s="38" customFormat="1" ht="30" customHeight="1" x14ac:dyDescent="0.2">
      <c r="B19" s="79" t="s">
        <v>25</v>
      </c>
      <c r="C19" s="65"/>
      <c r="D19" s="9"/>
      <c r="E19" s="61">
        <v>7000</v>
      </c>
      <c r="F19" s="50">
        <f t="shared" si="1"/>
        <v>0</v>
      </c>
      <c r="G19" s="95">
        <f t="shared" si="0"/>
        <v>0</v>
      </c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98"/>
      <c r="AL19" s="45"/>
      <c r="AM19" s="45"/>
      <c r="AN19" s="45"/>
      <c r="AO19" s="45"/>
      <c r="AP19" s="45"/>
      <c r="AQ19" s="45"/>
      <c r="AR19" s="45"/>
      <c r="AS19" s="45"/>
      <c r="AT19" s="45"/>
      <c r="AU19" s="60"/>
    </row>
    <row r="20" spans="2:47" s="38" customFormat="1" ht="20.100000000000001" customHeight="1" x14ac:dyDescent="0.2">
      <c r="B20" s="139" t="s">
        <v>8</v>
      </c>
      <c r="C20" s="140"/>
      <c r="D20" s="144"/>
      <c r="E20" s="146">
        <f>SUM(E6:E8,E10:E15)+E9*2</f>
        <v>61500</v>
      </c>
      <c r="F20" s="125">
        <f t="shared" ref="F20:X20" si="2">SUM(F6:F19)</f>
        <v>198000</v>
      </c>
      <c r="G20" s="125">
        <f t="shared" si="2"/>
        <v>35</v>
      </c>
      <c r="H20" s="23">
        <f t="shared" si="2"/>
        <v>1</v>
      </c>
      <c r="I20" s="23">
        <f t="shared" si="2"/>
        <v>2</v>
      </c>
      <c r="J20" s="23">
        <f t="shared" si="2"/>
        <v>3</v>
      </c>
      <c r="K20" s="23">
        <f t="shared" si="2"/>
        <v>1</v>
      </c>
      <c r="L20" s="23">
        <f t="shared" si="2"/>
        <v>3</v>
      </c>
      <c r="M20" s="23">
        <f t="shared" si="2"/>
        <v>1</v>
      </c>
      <c r="N20" s="23">
        <f t="shared" si="2"/>
        <v>1</v>
      </c>
      <c r="O20" s="23">
        <f t="shared" si="2"/>
        <v>2</v>
      </c>
      <c r="P20" s="23">
        <f t="shared" si="2"/>
        <v>1</v>
      </c>
      <c r="Q20" s="23">
        <f t="shared" si="2"/>
        <v>1</v>
      </c>
      <c r="R20" s="23">
        <f t="shared" si="2"/>
        <v>2</v>
      </c>
      <c r="S20" s="23">
        <f t="shared" si="2"/>
        <v>1</v>
      </c>
      <c r="T20" s="23">
        <f t="shared" si="2"/>
        <v>1</v>
      </c>
      <c r="U20" s="23">
        <f t="shared" si="2"/>
        <v>2</v>
      </c>
      <c r="V20" s="23">
        <f t="shared" si="2"/>
        <v>1</v>
      </c>
      <c r="W20" s="23">
        <f t="shared" si="2"/>
        <v>4</v>
      </c>
      <c r="X20" s="23">
        <f t="shared" si="2"/>
        <v>2</v>
      </c>
      <c r="Y20" s="23">
        <f t="shared" ref="Y20:AH20" si="3">SUM(Y6:Y19)</f>
        <v>4</v>
      </c>
      <c r="Z20" s="23">
        <f t="shared" si="3"/>
        <v>1</v>
      </c>
      <c r="AA20" s="23">
        <f t="shared" si="3"/>
        <v>1</v>
      </c>
      <c r="AB20" s="23">
        <f t="shared" si="3"/>
        <v>0</v>
      </c>
      <c r="AC20" s="23">
        <f t="shared" si="3"/>
        <v>0</v>
      </c>
      <c r="AD20" s="23">
        <f t="shared" si="3"/>
        <v>0</v>
      </c>
      <c r="AE20" s="23">
        <f t="shared" si="3"/>
        <v>0</v>
      </c>
      <c r="AF20" s="23">
        <f t="shared" si="3"/>
        <v>0</v>
      </c>
      <c r="AG20" s="23">
        <f t="shared" si="3"/>
        <v>0</v>
      </c>
      <c r="AH20" s="23">
        <f t="shared" si="3"/>
        <v>0</v>
      </c>
      <c r="AI20" s="23">
        <f>SUM(AI6:AI19)</f>
        <v>0</v>
      </c>
      <c r="AJ20" s="23">
        <f>SUM(AJ6:AJ19)</f>
        <v>0</v>
      </c>
      <c r="AK20" s="100">
        <f>SUM(AK6:AK19)</f>
        <v>0</v>
      </c>
      <c r="AL20" s="101">
        <f>SUM(AL6:AL19)</f>
        <v>0</v>
      </c>
      <c r="AM20" s="101">
        <f t="shared" ref="AM20:AU20" si="4">SUM(AM6:AM19)</f>
        <v>0</v>
      </c>
      <c r="AN20" s="101">
        <f t="shared" si="4"/>
        <v>0</v>
      </c>
      <c r="AO20" s="101">
        <f t="shared" si="4"/>
        <v>0</v>
      </c>
      <c r="AP20" s="101">
        <f t="shared" si="4"/>
        <v>0</v>
      </c>
      <c r="AQ20" s="101">
        <f t="shared" si="4"/>
        <v>0</v>
      </c>
      <c r="AR20" s="101">
        <f t="shared" si="4"/>
        <v>0</v>
      </c>
      <c r="AS20" s="101">
        <f t="shared" si="4"/>
        <v>0</v>
      </c>
      <c r="AT20" s="101">
        <f t="shared" si="4"/>
        <v>0</v>
      </c>
      <c r="AU20" s="102">
        <f t="shared" si="4"/>
        <v>0</v>
      </c>
    </row>
    <row r="21" spans="2:47" s="38" customFormat="1" ht="20.100000000000001" customHeight="1" x14ac:dyDescent="0.2">
      <c r="B21" s="141"/>
      <c r="C21" s="142"/>
      <c r="D21" s="145"/>
      <c r="E21" s="147"/>
      <c r="F21" s="126"/>
      <c r="G21" s="126"/>
      <c r="H21" s="46">
        <f>$E6*H6+$E7*H7+$E8*H8+$E9*H9+$E10*H10+$E11*H11+$E12*H12+$E14*H14+$E15*H15+$E16*H16+$E17*H17+$E18*H18+$E19*H19+$E13*H13</f>
        <v>5000</v>
      </c>
      <c r="I21" s="28">
        <f t="shared" ref="I21:AK21" si="5">$E6*I6+$E7*I7+$E8*I8+$E9*I9+$E10*I10+$E11*I11+$E12*I12+$E14*I14+$E15*I15+$E16*I16+$E17*I17+$E18*I18+$E19*I19+$E13*I13</f>
        <v>9500</v>
      </c>
      <c r="J21" s="28">
        <f t="shared" si="5"/>
        <v>17000</v>
      </c>
      <c r="K21" s="28">
        <f t="shared" si="5"/>
        <v>6500</v>
      </c>
      <c r="L21" s="28">
        <f t="shared" si="5"/>
        <v>16500</v>
      </c>
      <c r="M21" s="28">
        <f t="shared" si="5"/>
        <v>5500</v>
      </c>
      <c r="N21" s="28">
        <f t="shared" si="5"/>
        <v>6500</v>
      </c>
      <c r="O21" s="28">
        <f t="shared" si="5"/>
        <v>12000</v>
      </c>
      <c r="P21" s="28">
        <f t="shared" si="5"/>
        <v>5500</v>
      </c>
      <c r="Q21" s="28">
        <f t="shared" si="5"/>
        <v>6000</v>
      </c>
      <c r="R21" s="28">
        <f t="shared" si="5"/>
        <v>11000</v>
      </c>
      <c r="S21" s="28">
        <f t="shared" si="5"/>
        <v>4000</v>
      </c>
      <c r="T21" s="28">
        <f t="shared" si="5"/>
        <v>6000</v>
      </c>
      <c r="U21" s="28">
        <f t="shared" si="5"/>
        <v>10000</v>
      </c>
      <c r="V21" s="28">
        <f t="shared" si="5"/>
        <v>5500</v>
      </c>
      <c r="W21" s="28">
        <f t="shared" si="5"/>
        <v>25500</v>
      </c>
      <c r="X21" s="28">
        <f t="shared" si="5"/>
        <v>11000</v>
      </c>
      <c r="Y21" s="28">
        <f t="shared" si="5"/>
        <v>23500</v>
      </c>
      <c r="Z21" s="28">
        <f t="shared" si="5"/>
        <v>6000</v>
      </c>
      <c r="AA21" s="28">
        <f t="shared" si="5"/>
        <v>5500</v>
      </c>
      <c r="AB21" s="28">
        <f t="shared" si="5"/>
        <v>0</v>
      </c>
      <c r="AC21" s="28">
        <f t="shared" si="5"/>
        <v>0</v>
      </c>
      <c r="AD21" s="28">
        <f t="shared" si="5"/>
        <v>0</v>
      </c>
      <c r="AE21" s="28">
        <f t="shared" si="5"/>
        <v>0</v>
      </c>
      <c r="AF21" s="28">
        <f t="shared" si="5"/>
        <v>0</v>
      </c>
      <c r="AG21" s="28">
        <f t="shared" si="5"/>
        <v>0</v>
      </c>
      <c r="AH21" s="28">
        <f t="shared" si="5"/>
        <v>0</v>
      </c>
      <c r="AI21" s="28">
        <f t="shared" si="5"/>
        <v>0</v>
      </c>
      <c r="AJ21" s="28">
        <f t="shared" si="5"/>
        <v>0</v>
      </c>
      <c r="AK21" s="74">
        <f t="shared" si="5"/>
        <v>0</v>
      </c>
      <c r="AL21" s="28">
        <f>$E6*AL6+$E7*AL7+$E8*AL8+$E9*AL9+$E10*AL10+$E11*AL11+$E12*AL12+$E14*AL14+$E15*AL15+$E16*AL16+$E17*AL17+$E18*AL18+$E19*AL19+$E13*AL13</f>
        <v>0</v>
      </c>
      <c r="AM21" s="28">
        <f>$E6*AM6+$E7*AM7+$E8*AM8+$E9*AM9+$E10*AM10+$E11*AM11+$E12*AM12+$E14*AM14+$E15*AM15+$E16*AM16+$E17*AM17+$E18*AM18+$E19*AM19+$E13*AM13</f>
        <v>0</v>
      </c>
      <c r="AN21" s="28">
        <f>$E6*AN6+$E7*AN7+$E8*AN8+$E9*AN9+$E10*AN10+$E11*AN11+$E12*AN12+$E14*AN14+$E15*AN15+$E16*AN16+$E17*AN17+$E18*AN18+$E19*AN19+$E13*AN13</f>
        <v>0</v>
      </c>
      <c r="AO21" s="28">
        <f t="shared" ref="AO21:AU21" si="6">$E6*AO6+$E7*AO7+$E8*AO8+$E9*AO9+$E10*AO10+$E11*AO11+$E12*AO12+$E14*AO14+$E15*AO15+$E16*AO16+$E17*AO17+$E18*AO18+$E19*AO19+$E13*AO13</f>
        <v>0</v>
      </c>
      <c r="AP21" s="28">
        <f t="shared" si="6"/>
        <v>0</v>
      </c>
      <c r="AQ21" s="28">
        <f t="shared" si="6"/>
        <v>0</v>
      </c>
      <c r="AR21" s="28">
        <f t="shared" si="6"/>
        <v>0</v>
      </c>
      <c r="AS21" s="28">
        <f t="shared" si="6"/>
        <v>0</v>
      </c>
      <c r="AT21" s="28">
        <f t="shared" si="6"/>
        <v>0</v>
      </c>
      <c r="AU21" s="29">
        <f t="shared" si="6"/>
        <v>0</v>
      </c>
    </row>
  </sheetData>
  <sheetProtection password="CC67" sheet="1" objects="1" scenarios="1"/>
  <mergeCells count="10">
    <mergeCell ref="B20:D21"/>
    <mergeCell ref="E20:E21"/>
    <mergeCell ref="F20:F21"/>
    <mergeCell ref="G20:G21"/>
    <mergeCell ref="B2:G2"/>
    <mergeCell ref="B4:B5"/>
    <mergeCell ref="C4:C5"/>
    <mergeCell ref="D4:D5"/>
    <mergeCell ref="E4:E5"/>
    <mergeCell ref="F4:F5"/>
  </mergeCells>
  <phoneticPr fontId="2" type="noConversion"/>
  <pageMargins left="0.7" right="0.7" top="0.75" bottom="0.75" header="0.3" footer="0.3"/>
  <pageSetup paperSize="9" scale="31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B1:AU21"/>
  <sheetViews>
    <sheetView showGridLines="0" zoomScale="85" zoomScaleNormal="85" workbookViewId="0">
      <pane xSplit="7" ySplit="5" topLeftCell="L6" activePane="bottomRight" state="frozen"/>
      <selection pane="topRight" activeCell="G1" sqref="G1"/>
      <selection pane="bottomLeft" activeCell="A6" sqref="A6"/>
      <selection pane="bottomRight" activeCell="C6" sqref="C6:C15"/>
    </sheetView>
  </sheetViews>
  <sheetFormatPr defaultColWidth="9.125" defaultRowHeight="14.25" x14ac:dyDescent="0.2"/>
  <cols>
    <col min="1" max="1" width="0.375" style="1" customWidth="1"/>
    <col min="2" max="2" width="16.875" style="1" bestFit="1" customWidth="1"/>
    <col min="3" max="4" width="13.625" style="1" customWidth="1"/>
    <col min="5" max="5" width="10.625" style="1" hidden="1" customWidth="1"/>
    <col min="6" max="6" width="10.625" style="1" customWidth="1"/>
    <col min="7" max="7" width="10.625" style="3" customWidth="1"/>
    <col min="8" max="22" width="10.625" style="4" customWidth="1"/>
    <col min="23" max="47" width="10.625" style="1" customWidth="1"/>
    <col min="48" max="16384" width="9.125" style="1"/>
  </cols>
  <sheetData>
    <row r="1" spans="2:47" ht="3.75" customHeight="1" x14ac:dyDescent="0.2"/>
    <row r="2" spans="2:47" ht="20.25" x14ac:dyDescent="0.2">
      <c r="B2" s="149" t="s">
        <v>26</v>
      </c>
      <c r="C2" s="149"/>
      <c r="D2" s="149"/>
      <c r="E2" s="149"/>
      <c r="F2" s="149"/>
      <c r="G2" s="149"/>
    </row>
    <row r="3" spans="2:47" ht="4.9000000000000004" customHeight="1" x14ac:dyDescent="0.2"/>
    <row r="4" spans="2:47" s="38" customFormat="1" ht="20.100000000000001" customHeight="1" x14ac:dyDescent="0.2">
      <c r="B4" s="150" t="s">
        <v>3</v>
      </c>
      <c r="C4" s="123" t="s">
        <v>45</v>
      </c>
      <c r="D4" s="153" t="s">
        <v>46</v>
      </c>
      <c r="E4" s="135" t="s">
        <v>4</v>
      </c>
      <c r="F4" s="129" t="s">
        <v>5</v>
      </c>
      <c r="G4" s="32" t="s">
        <v>0</v>
      </c>
      <c r="H4" s="33">
        <v>1</v>
      </c>
      <c r="I4" s="34">
        <v>2</v>
      </c>
      <c r="J4" s="34">
        <v>3</v>
      </c>
      <c r="K4" s="34">
        <v>4</v>
      </c>
      <c r="L4" s="34">
        <v>5</v>
      </c>
      <c r="M4" s="34">
        <v>6</v>
      </c>
      <c r="N4" s="34">
        <v>7</v>
      </c>
      <c r="O4" s="34">
        <v>8</v>
      </c>
      <c r="P4" s="34">
        <v>9</v>
      </c>
      <c r="Q4" s="34">
        <v>10</v>
      </c>
      <c r="R4" s="34">
        <v>11</v>
      </c>
      <c r="S4" s="34">
        <v>12</v>
      </c>
      <c r="T4" s="34">
        <v>13</v>
      </c>
      <c r="U4" s="34">
        <v>14</v>
      </c>
      <c r="V4" s="34">
        <v>15</v>
      </c>
      <c r="W4" s="34">
        <v>16</v>
      </c>
      <c r="X4" s="34">
        <v>17</v>
      </c>
      <c r="Y4" s="33">
        <v>18</v>
      </c>
      <c r="Z4" s="34">
        <v>19</v>
      </c>
      <c r="AA4" s="34">
        <v>20</v>
      </c>
      <c r="AB4" s="34">
        <v>21</v>
      </c>
      <c r="AC4" s="34">
        <v>22</v>
      </c>
      <c r="AD4" s="34">
        <v>23</v>
      </c>
      <c r="AE4" s="34">
        <v>24</v>
      </c>
      <c r="AF4" s="34">
        <v>25</v>
      </c>
      <c r="AG4" s="34">
        <v>26</v>
      </c>
      <c r="AH4" s="34">
        <v>27</v>
      </c>
      <c r="AI4" s="34">
        <v>28</v>
      </c>
      <c r="AJ4" s="34">
        <v>29</v>
      </c>
      <c r="AK4" s="96">
        <v>30</v>
      </c>
      <c r="AL4" s="34">
        <v>31</v>
      </c>
      <c r="AM4" s="34">
        <v>32</v>
      </c>
      <c r="AN4" s="34">
        <v>33</v>
      </c>
      <c r="AO4" s="34">
        <v>34</v>
      </c>
      <c r="AP4" s="34">
        <v>35</v>
      </c>
      <c r="AQ4" s="34">
        <v>36</v>
      </c>
      <c r="AR4" s="34">
        <v>37</v>
      </c>
      <c r="AS4" s="34">
        <v>38</v>
      </c>
      <c r="AT4" s="34">
        <v>39</v>
      </c>
      <c r="AU4" s="35">
        <v>40</v>
      </c>
    </row>
    <row r="5" spans="2:47" s="38" customFormat="1" ht="20.100000000000001" customHeight="1" x14ac:dyDescent="0.2">
      <c r="B5" s="151"/>
      <c r="C5" s="152"/>
      <c r="D5" s="154"/>
      <c r="E5" s="136"/>
      <c r="F5" s="130"/>
      <c r="G5" s="36" t="s">
        <v>1</v>
      </c>
      <c r="H5" s="37">
        <v>1714</v>
      </c>
      <c r="I5" s="37">
        <v>1506</v>
      </c>
      <c r="J5" s="37">
        <v>1021</v>
      </c>
      <c r="K5" s="37">
        <v>707</v>
      </c>
      <c r="L5" s="37">
        <v>1214</v>
      </c>
      <c r="M5" s="37">
        <v>1416</v>
      </c>
      <c r="N5" s="37">
        <v>1406</v>
      </c>
      <c r="O5" s="37">
        <v>1714</v>
      </c>
      <c r="P5" s="37">
        <v>1220</v>
      </c>
      <c r="Q5" s="37">
        <v>1523</v>
      </c>
      <c r="R5" s="37">
        <v>1422</v>
      </c>
      <c r="S5" s="37">
        <v>1121</v>
      </c>
      <c r="T5" s="37">
        <v>1419</v>
      </c>
      <c r="U5" s="37">
        <v>1425</v>
      </c>
      <c r="V5" s="37">
        <v>1626</v>
      </c>
      <c r="W5" s="37">
        <v>706</v>
      </c>
      <c r="X5" s="37">
        <v>926</v>
      </c>
      <c r="Y5" s="37">
        <v>916</v>
      </c>
      <c r="Z5" s="37">
        <v>723</v>
      </c>
      <c r="AA5" s="37">
        <v>1602</v>
      </c>
      <c r="AB5" s="37">
        <v>1127</v>
      </c>
      <c r="AC5" s="37">
        <v>1805</v>
      </c>
      <c r="AD5" s="37">
        <v>1621</v>
      </c>
      <c r="AE5" s="37"/>
      <c r="AF5" s="37"/>
      <c r="AG5" s="37"/>
      <c r="AH5" s="37"/>
      <c r="AI5" s="37"/>
      <c r="AJ5" s="37"/>
      <c r="AK5" s="94"/>
      <c r="AL5" s="7"/>
      <c r="AM5" s="7"/>
      <c r="AN5" s="7"/>
      <c r="AO5" s="7"/>
      <c r="AP5" s="7"/>
      <c r="AQ5" s="7"/>
      <c r="AR5" s="7"/>
      <c r="AS5" s="7"/>
      <c r="AT5" s="7"/>
      <c r="AU5" s="9"/>
    </row>
    <row r="6" spans="2:47" s="38" customFormat="1" ht="30" customHeight="1" x14ac:dyDescent="0.2">
      <c r="B6" s="77" t="s">
        <v>12</v>
      </c>
      <c r="C6" s="62" t="s">
        <v>67</v>
      </c>
      <c r="D6" s="35"/>
      <c r="E6" s="39">
        <v>6000</v>
      </c>
      <c r="F6" s="12">
        <f>E6*G6</f>
        <v>42000</v>
      </c>
      <c r="G6" s="95">
        <f t="shared" ref="G6:G19" si="0">SUM(H6:AU6)</f>
        <v>7</v>
      </c>
      <c r="H6" s="40"/>
      <c r="I6" s="40"/>
      <c r="J6" s="40">
        <v>1</v>
      </c>
      <c r="K6" s="40">
        <v>1</v>
      </c>
      <c r="L6" s="40"/>
      <c r="M6" s="40"/>
      <c r="N6" s="40"/>
      <c r="O6" s="40"/>
      <c r="P6" s="40"/>
      <c r="Q6" s="40">
        <v>1</v>
      </c>
      <c r="R6" s="40"/>
      <c r="S6" s="40"/>
      <c r="T6" s="40">
        <v>1</v>
      </c>
      <c r="U6" s="40">
        <v>1</v>
      </c>
      <c r="V6" s="40"/>
      <c r="W6" s="40"/>
      <c r="X6" s="40"/>
      <c r="Y6" s="40"/>
      <c r="Z6" s="40">
        <v>1</v>
      </c>
      <c r="AA6" s="40"/>
      <c r="AB6" s="40"/>
      <c r="AC6" s="40">
        <v>1</v>
      </c>
      <c r="AD6" s="40"/>
      <c r="AE6" s="40"/>
      <c r="AF6" s="40"/>
      <c r="AG6" s="40"/>
      <c r="AH6" s="40"/>
      <c r="AI6" s="40"/>
      <c r="AJ6" s="40"/>
      <c r="AK6" s="97"/>
      <c r="AL6" s="40"/>
      <c r="AM6" s="40"/>
      <c r="AN6" s="40"/>
      <c r="AO6" s="40"/>
      <c r="AP6" s="40"/>
      <c r="AQ6" s="40"/>
      <c r="AR6" s="40"/>
      <c r="AS6" s="40"/>
      <c r="AT6" s="40"/>
      <c r="AU6" s="41"/>
    </row>
    <row r="7" spans="2:47" s="38" customFormat="1" ht="30" customHeight="1" x14ac:dyDescent="0.2">
      <c r="B7" s="78" t="s">
        <v>13</v>
      </c>
      <c r="C7" s="63" t="s">
        <v>54</v>
      </c>
      <c r="D7" s="64"/>
      <c r="E7" s="42">
        <v>6500</v>
      </c>
      <c r="F7" s="18">
        <f t="shared" ref="F7:F19" si="1">E7*G7</f>
        <v>6500</v>
      </c>
      <c r="G7" s="95">
        <f t="shared" si="0"/>
        <v>1</v>
      </c>
      <c r="H7" s="43"/>
      <c r="I7" s="43">
        <v>1</v>
      </c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98"/>
      <c r="AL7" s="43"/>
      <c r="AM7" s="43"/>
      <c r="AN7" s="43"/>
      <c r="AO7" s="43"/>
      <c r="AP7" s="43"/>
      <c r="AQ7" s="43"/>
      <c r="AR7" s="43"/>
      <c r="AS7" s="43"/>
      <c r="AT7" s="43"/>
      <c r="AU7" s="44"/>
    </row>
    <row r="8" spans="2:47" s="38" customFormat="1" ht="30" customHeight="1" x14ac:dyDescent="0.2">
      <c r="B8" s="78" t="s">
        <v>14</v>
      </c>
      <c r="C8" s="63" t="s">
        <v>65</v>
      </c>
      <c r="D8" s="64"/>
      <c r="E8" s="42">
        <v>7000</v>
      </c>
      <c r="F8" s="18">
        <f t="shared" si="1"/>
        <v>21000</v>
      </c>
      <c r="G8" s="95">
        <f t="shared" si="0"/>
        <v>3</v>
      </c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>
        <v>1</v>
      </c>
      <c r="V8" s="43"/>
      <c r="W8" s="43"/>
      <c r="X8" s="43"/>
      <c r="Y8" s="43"/>
      <c r="Z8" s="43">
        <v>1</v>
      </c>
      <c r="AA8" s="43"/>
      <c r="AB8" s="43"/>
      <c r="AC8" s="43">
        <v>1</v>
      </c>
      <c r="AD8" s="43"/>
      <c r="AE8" s="43"/>
      <c r="AF8" s="43"/>
      <c r="AG8" s="43"/>
      <c r="AH8" s="43"/>
      <c r="AI8" s="43"/>
      <c r="AJ8" s="43"/>
      <c r="AK8" s="98"/>
      <c r="AL8" s="43"/>
      <c r="AM8" s="43"/>
      <c r="AN8" s="43"/>
      <c r="AO8" s="43"/>
      <c r="AP8" s="43"/>
      <c r="AQ8" s="43"/>
      <c r="AR8" s="43"/>
      <c r="AS8" s="43"/>
      <c r="AT8" s="43"/>
      <c r="AU8" s="44"/>
    </row>
    <row r="9" spans="2:47" s="38" customFormat="1" ht="30" customHeight="1" x14ac:dyDescent="0.2">
      <c r="B9" s="78" t="s">
        <v>15</v>
      </c>
      <c r="C9" s="63" t="s">
        <v>57</v>
      </c>
      <c r="D9" s="64"/>
      <c r="E9" s="42">
        <v>5500</v>
      </c>
      <c r="F9" s="18">
        <f t="shared" si="1"/>
        <v>38500</v>
      </c>
      <c r="G9" s="95">
        <f t="shared" si="0"/>
        <v>7</v>
      </c>
      <c r="H9" s="43"/>
      <c r="I9" s="43"/>
      <c r="J9" s="43"/>
      <c r="K9" s="43"/>
      <c r="L9" s="43"/>
      <c r="M9" s="43"/>
      <c r="N9" s="43"/>
      <c r="O9" s="43"/>
      <c r="P9" s="43">
        <v>2</v>
      </c>
      <c r="Q9" s="43"/>
      <c r="R9" s="43">
        <v>1</v>
      </c>
      <c r="S9" s="43">
        <v>1</v>
      </c>
      <c r="T9" s="43">
        <v>1</v>
      </c>
      <c r="U9" s="43"/>
      <c r="V9" s="43"/>
      <c r="W9" s="43"/>
      <c r="X9" s="43">
        <v>2</v>
      </c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98"/>
      <c r="AL9" s="43"/>
      <c r="AM9" s="43"/>
      <c r="AN9" s="43"/>
      <c r="AO9" s="43"/>
      <c r="AP9" s="43"/>
      <c r="AQ9" s="43"/>
      <c r="AR9" s="43"/>
      <c r="AS9" s="43"/>
      <c r="AT9" s="43"/>
      <c r="AU9" s="44"/>
    </row>
    <row r="10" spans="2:47" s="38" customFormat="1" ht="30" customHeight="1" x14ac:dyDescent="0.2">
      <c r="B10" s="78" t="s">
        <v>16</v>
      </c>
      <c r="C10" s="63" t="s">
        <v>58</v>
      </c>
      <c r="D10" s="64"/>
      <c r="E10" s="42">
        <v>4000</v>
      </c>
      <c r="F10" s="18">
        <f t="shared" si="1"/>
        <v>8000</v>
      </c>
      <c r="G10" s="95">
        <f t="shared" si="0"/>
        <v>2</v>
      </c>
      <c r="H10" s="43"/>
      <c r="I10" s="43"/>
      <c r="J10" s="43"/>
      <c r="K10" s="43"/>
      <c r="L10" s="43"/>
      <c r="M10" s="43"/>
      <c r="N10" s="43"/>
      <c r="O10" s="43"/>
      <c r="P10" s="43"/>
      <c r="Q10" s="43">
        <v>1</v>
      </c>
      <c r="R10" s="43"/>
      <c r="S10" s="43"/>
      <c r="T10" s="43"/>
      <c r="U10" s="43"/>
      <c r="V10" s="43">
        <v>1</v>
      </c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98"/>
      <c r="AL10" s="43"/>
      <c r="AM10" s="43"/>
      <c r="AN10" s="43"/>
      <c r="AO10" s="43"/>
      <c r="AP10" s="43"/>
      <c r="AQ10" s="43"/>
      <c r="AR10" s="43"/>
      <c r="AS10" s="43"/>
      <c r="AT10" s="43"/>
      <c r="AU10" s="44"/>
    </row>
    <row r="11" spans="2:47" s="38" customFormat="1" ht="30" customHeight="1" x14ac:dyDescent="0.2">
      <c r="B11" s="78" t="s">
        <v>17</v>
      </c>
      <c r="C11" s="63" t="s">
        <v>59</v>
      </c>
      <c r="D11" s="64"/>
      <c r="E11" s="42">
        <v>4000</v>
      </c>
      <c r="F11" s="18">
        <f t="shared" si="1"/>
        <v>20000</v>
      </c>
      <c r="G11" s="95">
        <f t="shared" si="0"/>
        <v>5</v>
      </c>
      <c r="H11" s="43"/>
      <c r="I11" s="43"/>
      <c r="J11" s="43"/>
      <c r="K11" s="43"/>
      <c r="L11" s="43">
        <v>1</v>
      </c>
      <c r="M11" s="43">
        <v>1</v>
      </c>
      <c r="N11" s="43"/>
      <c r="O11" s="43"/>
      <c r="P11" s="43"/>
      <c r="Q11" s="43"/>
      <c r="R11" s="43"/>
      <c r="S11" s="43"/>
      <c r="T11" s="43"/>
      <c r="U11" s="43">
        <v>1</v>
      </c>
      <c r="V11" s="43"/>
      <c r="W11" s="43"/>
      <c r="X11" s="43"/>
      <c r="Y11" s="43"/>
      <c r="Z11" s="43"/>
      <c r="AA11" s="43"/>
      <c r="AB11" s="43">
        <v>1</v>
      </c>
      <c r="AC11" s="43"/>
      <c r="AD11" s="43">
        <v>1</v>
      </c>
      <c r="AE11" s="43"/>
      <c r="AF11" s="43"/>
      <c r="AG11" s="43"/>
      <c r="AH11" s="43"/>
      <c r="AI11" s="43"/>
      <c r="AJ11" s="43"/>
      <c r="AK11" s="98"/>
      <c r="AL11" s="43"/>
      <c r="AM11" s="43"/>
      <c r="AN11" s="43"/>
      <c r="AO11" s="43"/>
      <c r="AP11" s="43"/>
      <c r="AQ11" s="43"/>
      <c r="AR11" s="43"/>
      <c r="AS11" s="43"/>
      <c r="AT11" s="43"/>
      <c r="AU11" s="44"/>
    </row>
    <row r="12" spans="2:47" s="38" customFormat="1" ht="30" customHeight="1" x14ac:dyDescent="0.2">
      <c r="B12" s="78" t="s">
        <v>18</v>
      </c>
      <c r="C12" s="63" t="s">
        <v>60</v>
      </c>
      <c r="D12" s="64"/>
      <c r="E12" s="42">
        <v>4000</v>
      </c>
      <c r="F12" s="18">
        <f t="shared" si="1"/>
        <v>8000</v>
      </c>
      <c r="G12" s="95">
        <f t="shared" si="0"/>
        <v>2</v>
      </c>
      <c r="H12" s="43"/>
      <c r="I12" s="43"/>
      <c r="J12" s="43"/>
      <c r="K12" s="43">
        <v>1</v>
      </c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>
        <v>1</v>
      </c>
      <c r="AB12" s="43"/>
      <c r="AC12" s="43"/>
      <c r="AD12" s="43"/>
      <c r="AE12" s="43"/>
      <c r="AF12" s="43"/>
      <c r="AG12" s="43"/>
      <c r="AH12" s="43"/>
      <c r="AI12" s="43"/>
      <c r="AJ12" s="43"/>
      <c r="AK12" s="98"/>
      <c r="AL12" s="43"/>
      <c r="AM12" s="43"/>
      <c r="AN12" s="43"/>
      <c r="AO12" s="43"/>
      <c r="AP12" s="43"/>
      <c r="AQ12" s="43"/>
      <c r="AR12" s="43"/>
      <c r="AS12" s="43"/>
      <c r="AT12" s="43"/>
      <c r="AU12" s="44"/>
    </row>
    <row r="13" spans="2:47" s="38" customFormat="1" ht="30" customHeight="1" x14ac:dyDescent="0.2">
      <c r="B13" s="78" t="s">
        <v>19</v>
      </c>
      <c r="C13" s="63" t="s">
        <v>59</v>
      </c>
      <c r="D13" s="64"/>
      <c r="E13" s="42">
        <v>5000</v>
      </c>
      <c r="F13" s="18">
        <f t="shared" si="1"/>
        <v>10000</v>
      </c>
      <c r="G13" s="95">
        <f t="shared" si="0"/>
        <v>2</v>
      </c>
      <c r="H13" s="45"/>
      <c r="I13" s="45"/>
      <c r="J13" s="45"/>
      <c r="K13" s="45"/>
      <c r="L13" s="45"/>
      <c r="M13" s="45"/>
      <c r="N13" s="45">
        <v>1</v>
      </c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>
        <v>1</v>
      </c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99"/>
      <c r="AL13" s="43"/>
      <c r="AM13" s="43"/>
      <c r="AN13" s="43"/>
      <c r="AO13" s="43"/>
      <c r="AP13" s="43"/>
      <c r="AQ13" s="43"/>
      <c r="AR13" s="43"/>
      <c r="AS13" s="43"/>
      <c r="AT13" s="43"/>
      <c r="AU13" s="44"/>
    </row>
    <row r="14" spans="2:47" s="38" customFormat="1" ht="30" customHeight="1" x14ac:dyDescent="0.2">
      <c r="B14" s="78" t="s">
        <v>20</v>
      </c>
      <c r="C14" s="63" t="s">
        <v>53</v>
      </c>
      <c r="D14" s="64"/>
      <c r="E14" s="42">
        <v>7000</v>
      </c>
      <c r="F14" s="18">
        <f t="shared" si="1"/>
        <v>28000</v>
      </c>
      <c r="G14" s="95">
        <f t="shared" si="0"/>
        <v>4</v>
      </c>
      <c r="H14" s="43">
        <v>2</v>
      </c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>
        <v>1</v>
      </c>
      <c r="T14" s="43"/>
      <c r="U14" s="43"/>
      <c r="V14" s="43"/>
      <c r="W14" s="43"/>
      <c r="X14" s="43"/>
      <c r="Y14" s="43">
        <v>1</v>
      </c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98"/>
      <c r="AL14" s="43"/>
      <c r="AM14" s="43"/>
      <c r="AN14" s="43"/>
      <c r="AO14" s="43"/>
      <c r="AP14" s="43"/>
      <c r="AQ14" s="43"/>
      <c r="AR14" s="43"/>
      <c r="AS14" s="43"/>
      <c r="AT14" s="43"/>
      <c r="AU14" s="44"/>
    </row>
    <row r="15" spans="2:47" s="38" customFormat="1" ht="30" customHeight="1" x14ac:dyDescent="0.2">
      <c r="B15" s="78" t="s">
        <v>21</v>
      </c>
      <c r="C15" s="63" t="s">
        <v>66</v>
      </c>
      <c r="D15" s="64"/>
      <c r="E15" s="42">
        <v>7000</v>
      </c>
      <c r="F15" s="18">
        <f t="shared" si="1"/>
        <v>42000</v>
      </c>
      <c r="G15" s="95">
        <f t="shared" si="0"/>
        <v>6</v>
      </c>
      <c r="H15" s="43">
        <v>2</v>
      </c>
      <c r="I15" s="43"/>
      <c r="J15" s="43"/>
      <c r="K15" s="43"/>
      <c r="L15" s="43"/>
      <c r="M15" s="43"/>
      <c r="N15" s="43"/>
      <c r="O15" s="43">
        <v>1</v>
      </c>
      <c r="P15" s="43"/>
      <c r="Q15" s="43"/>
      <c r="R15" s="43"/>
      <c r="S15" s="43">
        <v>1</v>
      </c>
      <c r="T15" s="43"/>
      <c r="U15" s="43"/>
      <c r="V15" s="43"/>
      <c r="W15" s="43">
        <v>1</v>
      </c>
      <c r="X15" s="43"/>
      <c r="Y15" s="43">
        <v>1</v>
      </c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98"/>
      <c r="AL15" s="43"/>
      <c r="AM15" s="43"/>
      <c r="AN15" s="43"/>
      <c r="AO15" s="43"/>
      <c r="AP15" s="43"/>
      <c r="AQ15" s="43"/>
      <c r="AR15" s="43"/>
      <c r="AS15" s="43"/>
      <c r="AT15" s="43"/>
      <c r="AU15" s="44"/>
    </row>
    <row r="16" spans="2:47" s="38" customFormat="1" ht="30" customHeight="1" x14ac:dyDescent="0.2">
      <c r="B16" s="78" t="s">
        <v>22</v>
      </c>
      <c r="C16" s="63"/>
      <c r="D16" s="64"/>
      <c r="E16" s="42">
        <v>7000</v>
      </c>
      <c r="F16" s="18">
        <f t="shared" si="1"/>
        <v>0</v>
      </c>
      <c r="G16" s="95">
        <f t="shared" si="0"/>
        <v>0</v>
      </c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98"/>
      <c r="AL16" s="43"/>
      <c r="AM16" s="43"/>
      <c r="AN16" s="43"/>
      <c r="AO16" s="43"/>
      <c r="AP16" s="43"/>
      <c r="AQ16" s="43"/>
      <c r="AR16" s="43"/>
      <c r="AS16" s="43"/>
      <c r="AT16" s="43"/>
      <c r="AU16" s="44"/>
    </row>
    <row r="17" spans="2:47" s="38" customFormat="1" ht="30" customHeight="1" x14ac:dyDescent="0.2">
      <c r="B17" s="78" t="s">
        <v>23</v>
      </c>
      <c r="C17" s="63"/>
      <c r="D17" s="64"/>
      <c r="E17" s="42">
        <v>7000</v>
      </c>
      <c r="F17" s="18">
        <f t="shared" si="1"/>
        <v>0</v>
      </c>
      <c r="G17" s="95">
        <f t="shared" si="0"/>
        <v>0</v>
      </c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98"/>
      <c r="AL17" s="43"/>
      <c r="AM17" s="43"/>
      <c r="AN17" s="43"/>
      <c r="AO17" s="43"/>
      <c r="AP17" s="43"/>
      <c r="AQ17" s="43"/>
      <c r="AR17" s="43"/>
      <c r="AS17" s="43"/>
      <c r="AT17" s="43"/>
      <c r="AU17" s="44"/>
    </row>
    <row r="18" spans="2:47" s="38" customFormat="1" ht="30" customHeight="1" x14ac:dyDescent="0.2">
      <c r="B18" s="78" t="s">
        <v>24</v>
      </c>
      <c r="C18" s="63"/>
      <c r="D18" s="64"/>
      <c r="E18" s="42">
        <v>7000</v>
      </c>
      <c r="F18" s="18">
        <f t="shared" si="1"/>
        <v>0</v>
      </c>
      <c r="G18" s="95">
        <f t="shared" si="0"/>
        <v>0</v>
      </c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99"/>
      <c r="AL18" s="43"/>
      <c r="AM18" s="43"/>
      <c r="AN18" s="43"/>
      <c r="AO18" s="43"/>
      <c r="AP18" s="43"/>
      <c r="AQ18" s="43"/>
      <c r="AR18" s="43"/>
      <c r="AS18" s="43"/>
      <c r="AT18" s="43"/>
      <c r="AU18" s="44"/>
    </row>
    <row r="19" spans="2:47" s="38" customFormat="1" ht="30" customHeight="1" x14ac:dyDescent="0.2">
      <c r="B19" s="79" t="s">
        <v>25</v>
      </c>
      <c r="C19" s="65"/>
      <c r="D19" s="9"/>
      <c r="E19" s="61">
        <v>7000</v>
      </c>
      <c r="F19" s="50">
        <f t="shared" si="1"/>
        <v>0</v>
      </c>
      <c r="G19" s="95">
        <f t="shared" si="0"/>
        <v>0</v>
      </c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98"/>
      <c r="AL19" s="45"/>
      <c r="AM19" s="45"/>
      <c r="AN19" s="45"/>
      <c r="AO19" s="45"/>
      <c r="AP19" s="45"/>
      <c r="AQ19" s="45"/>
      <c r="AR19" s="45"/>
      <c r="AS19" s="45"/>
      <c r="AT19" s="45"/>
      <c r="AU19" s="60"/>
    </row>
    <row r="20" spans="2:47" s="38" customFormat="1" ht="20.100000000000001" customHeight="1" x14ac:dyDescent="0.2">
      <c r="B20" s="139" t="s">
        <v>8</v>
      </c>
      <c r="C20" s="140"/>
      <c r="D20" s="144"/>
      <c r="E20" s="146">
        <f>SUM(E6:E8,E10:E15)+E9*2</f>
        <v>61500</v>
      </c>
      <c r="F20" s="125">
        <f t="shared" ref="F20:X20" si="2">SUM(F6:F19)</f>
        <v>224000</v>
      </c>
      <c r="G20" s="125">
        <f t="shared" si="2"/>
        <v>39</v>
      </c>
      <c r="H20" s="23">
        <f t="shared" si="2"/>
        <v>4</v>
      </c>
      <c r="I20" s="23">
        <f t="shared" si="2"/>
        <v>1</v>
      </c>
      <c r="J20" s="23">
        <f t="shared" si="2"/>
        <v>1</v>
      </c>
      <c r="K20" s="23">
        <f t="shared" si="2"/>
        <v>2</v>
      </c>
      <c r="L20" s="23">
        <f t="shared" si="2"/>
        <v>1</v>
      </c>
      <c r="M20" s="23">
        <f t="shared" si="2"/>
        <v>1</v>
      </c>
      <c r="N20" s="23">
        <f t="shared" si="2"/>
        <v>1</v>
      </c>
      <c r="O20" s="23">
        <f t="shared" si="2"/>
        <v>1</v>
      </c>
      <c r="P20" s="23">
        <f t="shared" si="2"/>
        <v>2</v>
      </c>
      <c r="Q20" s="23">
        <f t="shared" si="2"/>
        <v>2</v>
      </c>
      <c r="R20" s="23">
        <f t="shared" si="2"/>
        <v>1</v>
      </c>
      <c r="S20" s="23">
        <f t="shared" si="2"/>
        <v>3</v>
      </c>
      <c r="T20" s="23">
        <f t="shared" si="2"/>
        <v>2</v>
      </c>
      <c r="U20" s="23">
        <f t="shared" si="2"/>
        <v>3</v>
      </c>
      <c r="V20" s="23">
        <f t="shared" si="2"/>
        <v>1</v>
      </c>
      <c r="W20" s="23">
        <f t="shared" si="2"/>
        <v>1</v>
      </c>
      <c r="X20" s="23">
        <f t="shared" si="2"/>
        <v>2</v>
      </c>
      <c r="Y20" s="23">
        <f t="shared" ref="Y20:AH20" si="3">SUM(Y6:Y19)</f>
        <v>2</v>
      </c>
      <c r="Z20" s="23">
        <f t="shared" si="3"/>
        <v>3</v>
      </c>
      <c r="AA20" s="23">
        <f t="shared" si="3"/>
        <v>1</v>
      </c>
      <c r="AB20" s="23">
        <f t="shared" si="3"/>
        <v>1</v>
      </c>
      <c r="AC20" s="23">
        <f t="shared" si="3"/>
        <v>2</v>
      </c>
      <c r="AD20" s="23">
        <f t="shared" si="3"/>
        <v>1</v>
      </c>
      <c r="AE20" s="23">
        <f t="shared" si="3"/>
        <v>0</v>
      </c>
      <c r="AF20" s="23">
        <f t="shared" si="3"/>
        <v>0</v>
      </c>
      <c r="AG20" s="23">
        <f t="shared" si="3"/>
        <v>0</v>
      </c>
      <c r="AH20" s="23">
        <f t="shared" si="3"/>
        <v>0</v>
      </c>
      <c r="AI20" s="23">
        <f>SUM(AI6:AI19)</f>
        <v>0</v>
      </c>
      <c r="AJ20" s="23">
        <f>SUM(AJ6:AJ19)</f>
        <v>0</v>
      </c>
      <c r="AK20" s="100">
        <f>SUM(AK6:AK19)</f>
        <v>0</v>
      </c>
      <c r="AL20" s="101">
        <f>SUM(AL6:AL19)</f>
        <v>0</v>
      </c>
      <c r="AM20" s="101">
        <f t="shared" ref="AM20:AU20" si="4">SUM(AM6:AM19)</f>
        <v>0</v>
      </c>
      <c r="AN20" s="101">
        <f t="shared" si="4"/>
        <v>0</v>
      </c>
      <c r="AO20" s="101">
        <f t="shared" si="4"/>
        <v>0</v>
      </c>
      <c r="AP20" s="101">
        <f t="shared" si="4"/>
        <v>0</v>
      </c>
      <c r="AQ20" s="101">
        <f t="shared" si="4"/>
        <v>0</v>
      </c>
      <c r="AR20" s="101">
        <f t="shared" si="4"/>
        <v>0</v>
      </c>
      <c r="AS20" s="101">
        <f t="shared" si="4"/>
        <v>0</v>
      </c>
      <c r="AT20" s="101">
        <f t="shared" si="4"/>
        <v>0</v>
      </c>
      <c r="AU20" s="102">
        <f t="shared" si="4"/>
        <v>0</v>
      </c>
    </row>
    <row r="21" spans="2:47" s="38" customFormat="1" ht="20.100000000000001" customHeight="1" x14ac:dyDescent="0.2">
      <c r="B21" s="141"/>
      <c r="C21" s="142"/>
      <c r="D21" s="145"/>
      <c r="E21" s="147"/>
      <c r="F21" s="126"/>
      <c r="G21" s="126"/>
      <c r="H21" s="46">
        <f>$E6*H6+$E7*H7+$E8*H8+$E9*H9+$E10*H10+$E11*H11+$E12*H12+$E14*H14+$E15*H15+$E16*H16+$E17*H17+$E18*H18+$E19*H19+$E13*H13</f>
        <v>28000</v>
      </c>
      <c r="I21" s="28">
        <f t="shared" ref="I21:AK21" si="5">$E6*I6+$E7*I7+$E8*I8+$E9*I9+$E10*I10+$E11*I11+$E12*I12+$E14*I14+$E15*I15+$E16*I16+$E17*I17+$E18*I18+$E19*I19+$E13*I13</f>
        <v>6500</v>
      </c>
      <c r="J21" s="28">
        <f t="shared" si="5"/>
        <v>6000</v>
      </c>
      <c r="K21" s="28">
        <f t="shared" si="5"/>
        <v>10000</v>
      </c>
      <c r="L21" s="28">
        <f t="shared" si="5"/>
        <v>4000</v>
      </c>
      <c r="M21" s="28">
        <f t="shared" si="5"/>
        <v>4000</v>
      </c>
      <c r="N21" s="28">
        <f t="shared" si="5"/>
        <v>5000</v>
      </c>
      <c r="O21" s="28">
        <f t="shared" si="5"/>
        <v>7000</v>
      </c>
      <c r="P21" s="28">
        <f t="shared" si="5"/>
        <v>11000</v>
      </c>
      <c r="Q21" s="28">
        <f t="shared" si="5"/>
        <v>10000</v>
      </c>
      <c r="R21" s="28">
        <f t="shared" si="5"/>
        <v>5500</v>
      </c>
      <c r="S21" s="28">
        <f t="shared" si="5"/>
        <v>19500</v>
      </c>
      <c r="T21" s="28">
        <f t="shared" si="5"/>
        <v>11500</v>
      </c>
      <c r="U21" s="28">
        <f t="shared" si="5"/>
        <v>17000</v>
      </c>
      <c r="V21" s="28">
        <f t="shared" si="5"/>
        <v>4000</v>
      </c>
      <c r="W21" s="28">
        <f t="shared" si="5"/>
        <v>7000</v>
      </c>
      <c r="X21" s="28">
        <f t="shared" si="5"/>
        <v>11000</v>
      </c>
      <c r="Y21" s="28">
        <f t="shared" si="5"/>
        <v>14000</v>
      </c>
      <c r="Z21" s="28">
        <f t="shared" si="5"/>
        <v>18000</v>
      </c>
      <c r="AA21" s="28">
        <f t="shared" si="5"/>
        <v>4000</v>
      </c>
      <c r="AB21" s="28">
        <f t="shared" si="5"/>
        <v>4000</v>
      </c>
      <c r="AC21" s="28">
        <f t="shared" si="5"/>
        <v>13000</v>
      </c>
      <c r="AD21" s="28">
        <f t="shared" si="5"/>
        <v>4000</v>
      </c>
      <c r="AE21" s="28">
        <f t="shared" si="5"/>
        <v>0</v>
      </c>
      <c r="AF21" s="28">
        <f t="shared" si="5"/>
        <v>0</v>
      </c>
      <c r="AG21" s="28">
        <f t="shared" si="5"/>
        <v>0</v>
      </c>
      <c r="AH21" s="28">
        <f t="shared" si="5"/>
        <v>0</v>
      </c>
      <c r="AI21" s="28">
        <f t="shared" si="5"/>
        <v>0</v>
      </c>
      <c r="AJ21" s="28">
        <f t="shared" si="5"/>
        <v>0</v>
      </c>
      <c r="AK21" s="74">
        <f t="shared" si="5"/>
        <v>0</v>
      </c>
      <c r="AL21" s="28">
        <f>$E6*AL6+$E7*AL7+$E8*AL8+$E9*AL9+$E10*AL10+$E11*AL11+$E12*AL12+$E14*AL14+$E15*AL15+$E16*AL16+$E17*AL17+$E18*AL18+$E19*AL19+$E13*AL13</f>
        <v>0</v>
      </c>
      <c r="AM21" s="28">
        <f>$E6*AM6+$E7*AM7+$E8*AM8+$E9*AM9+$E10*AM10+$E11*AM11+$E12*AM12+$E14*AM14+$E15*AM15+$E16*AM16+$E17*AM17+$E18*AM18+$E19*AM19+$E13*AM13</f>
        <v>0</v>
      </c>
      <c r="AN21" s="28">
        <f>$E6*AN6+$E7*AN7+$E8*AN8+$E9*AN9+$E10*AN10+$E11*AN11+$E12*AN12+$E14*AN14+$E15*AN15+$E16*AN16+$E17*AN17+$E18*AN18+$E19*AN19+$E13*AN13</f>
        <v>0</v>
      </c>
      <c r="AO21" s="28">
        <f t="shared" ref="AO21:AU21" si="6">$E6*AO6+$E7*AO7+$E8*AO8+$E9*AO9+$E10*AO10+$E11*AO11+$E12*AO12+$E14*AO14+$E15*AO15+$E16*AO16+$E17*AO17+$E18*AO18+$E19*AO19+$E13*AO13</f>
        <v>0</v>
      </c>
      <c r="AP21" s="28">
        <f t="shared" si="6"/>
        <v>0</v>
      </c>
      <c r="AQ21" s="28">
        <f t="shared" si="6"/>
        <v>0</v>
      </c>
      <c r="AR21" s="28">
        <f t="shared" si="6"/>
        <v>0</v>
      </c>
      <c r="AS21" s="28">
        <f t="shared" si="6"/>
        <v>0</v>
      </c>
      <c r="AT21" s="28">
        <f t="shared" si="6"/>
        <v>0</v>
      </c>
      <c r="AU21" s="29">
        <f t="shared" si="6"/>
        <v>0</v>
      </c>
    </row>
  </sheetData>
  <sheetProtection password="CC67" sheet="1" objects="1" scenarios="1"/>
  <mergeCells count="10">
    <mergeCell ref="B20:D21"/>
    <mergeCell ref="E20:E21"/>
    <mergeCell ref="F20:F21"/>
    <mergeCell ref="G20:G21"/>
    <mergeCell ref="B2:G2"/>
    <mergeCell ref="B4:B5"/>
    <mergeCell ref="C4:C5"/>
    <mergeCell ref="D4:D5"/>
    <mergeCell ref="E4:E5"/>
    <mergeCell ref="F4:F5"/>
  </mergeCells>
  <phoneticPr fontId="2" type="noConversion"/>
  <pageMargins left="0.7" right="0.7" top="0.75" bottom="0.75" header="0.3" footer="0.3"/>
  <pageSetup paperSize="9" scale="31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B1:AU21"/>
  <sheetViews>
    <sheetView showGridLines="0" zoomScale="85" zoomScaleNormal="85" workbookViewId="0">
      <pane xSplit="7" ySplit="5" topLeftCell="Z6" activePane="bottomRight" state="frozen"/>
      <selection pane="topRight" activeCell="G1" sqref="G1"/>
      <selection pane="bottomLeft" activeCell="A6" sqref="A6"/>
      <selection pane="bottomRight" activeCell="C18" sqref="C18"/>
    </sheetView>
  </sheetViews>
  <sheetFormatPr defaultColWidth="9.125" defaultRowHeight="14.25" x14ac:dyDescent="0.2"/>
  <cols>
    <col min="1" max="1" width="0.375" style="1" customWidth="1"/>
    <col min="2" max="2" width="16.875" style="1" bestFit="1" customWidth="1"/>
    <col min="3" max="4" width="13.625" style="1" customWidth="1"/>
    <col min="5" max="5" width="10.625" style="1" hidden="1" customWidth="1"/>
    <col min="6" max="6" width="10.625" style="1" customWidth="1"/>
    <col min="7" max="7" width="10.625" style="3" customWidth="1"/>
    <col min="8" max="22" width="10.625" style="4" customWidth="1"/>
    <col min="23" max="47" width="10.625" style="1" customWidth="1"/>
    <col min="48" max="16384" width="9.125" style="1"/>
  </cols>
  <sheetData>
    <row r="1" spans="2:47" ht="3.75" customHeight="1" x14ac:dyDescent="0.2"/>
    <row r="2" spans="2:47" ht="20.25" x14ac:dyDescent="0.2">
      <c r="B2" s="149" t="s">
        <v>26</v>
      </c>
      <c r="C2" s="149"/>
      <c r="D2" s="149"/>
      <c r="E2" s="149"/>
      <c r="F2" s="149"/>
      <c r="G2" s="149"/>
    </row>
    <row r="3" spans="2:47" ht="4.9000000000000004" customHeight="1" x14ac:dyDescent="0.2"/>
    <row r="4" spans="2:47" s="38" customFormat="1" ht="20.100000000000001" customHeight="1" x14ac:dyDescent="0.2">
      <c r="B4" s="150" t="s">
        <v>3</v>
      </c>
      <c r="C4" s="123" t="s">
        <v>45</v>
      </c>
      <c r="D4" s="153" t="s">
        <v>46</v>
      </c>
      <c r="E4" s="135" t="s">
        <v>4</v>
      </c>
      <c r="F4" s="129" t="s">
        <v>5</v>
      </c>
      <c r="G4" s="32" t="s">
        <v>0</v>
      </c>
      <c r="H4" s="33">
        <v>1</v>
      </c>
      <c r="I4" s="34">
        <v>2</v>
      </c>
      <c r="J4" s="34">
        <v>3</v>
      </c>
      <c r="K4" s="34">
        <v>4</v>
      </c>
      <c r="L4" s="34">
        <v>5</v>
      </c>
      <c r="M4" s="34">
        <v>6</v>
      </c>
      <c r="N4" s="34">
        <v>7</v>
      </c>
      <c r="O4" s="34">
        <v>8</v>
      </c>
      <c r="P4" s="34">
        <v>9</v>
      </c>
      <c r="Q4" s="34">
        <v>10</v>
      </c>
      <c r="R4" s="34">
        <v>11</v>
      </c>
      <c r="S4" s="34">
        <v>12</v>
      </c>
      <c r="T4" s="34">
        <v>13</v>
      </c>
      <c r="U4" s="34">
        <v>14</v>
      </c>
      <c r="V4" s="34">
        <v>15</v>
      </c>
      <c r="W4" s="34">
        <v>16</v>
      </c>
      <c r="X4" s="34">
        <v>17</v>
      </c>
      <c r="Y4" s="33">
        <v>18</v>
      </c>
      <c r="Z4" s="34">
        <v>19</v>
      </c>
      <c r="AA4" s="34">
        <v>20</v>
      </c>
      <c r="AB4" s="34">
        <v>21</v>
      </c>
      <c r="AC4" s="34">
        <v>22</v>
      </c>
      <c r="AD4" s="34">
        <v>23</v>
      </c>
      <c r="AE4" s="34">
        <v>24</v>
      </c>
      <c r="AF4" s="34">
        <v>25</v>
      </c>
      <c r="AG4" s="34">
        <v>26</v>
      </c>
      <c r="AH4" s="34">
        <v>27</v>
      </c>
      <c r="AI4" s="34">
        <v>28</v>
      </c>
      <c r="AJ4" s="34">
        <v>29</v>
      </c>
      <c r="AK4" s="96">
        <v>30</v>
      </c>
      <c r="AL4" s="34">
        <v>31</v>
      </c>
      <c r="AM4" s="34">
        <v>32</v>
      </c>
      <c r="AN4" s="34">
        <v>33</v>
      </c>
      <c r="AO4" s="34">
        <v>34</v>
      </c>
      <c r="AP4" s="34">
        <v>35</v>
      </c>
      <c r="AQ4" s="34">
        <v>36</v>
      </c>
      <c r="AR4" s="34">
        <v>37</v>
      </c>
      <c r="AS4" s="34">
        <v>38</v>
      </c>
      <c r="AT4" s="34">
        <v>39</v>
      </c>
      <c r="AU4" s="35">
        <v>40</v>
      </c>
    </row>
    <row r="5" spans="2:47" s="38" customFormat="1" ht="20.100000000000001" customHeight="1" x14ac:dyDescent="0.2">
      <c r="B5" s="151"/>
      <c r="C5" s="152"/>
      <c r="D5" s="154"/>
      <c r="E5" s="136"/>
      <c r="F5" s="130"/>
      <c r="G5" s="36" t="s">
        <v>1</v>
      </c>
      <c r="H5" s="37">
        <v>825</v>
      </c>
      <c r="I5" s="37">
        <v>826</v>
      </c>
      <c r="J5" s="37">
        <v>928</v>
      </c>
      <c r="K5" s="37">
        <v>1130</v>
      </c>
      <c r="L5" s="37">
        <v>926</v>
      </c>
      <c r="M5" s="37">
        <v>1202</v>
      </c>
      <c r="N5" s="37">
        <v>1619</v>
      </c>
      <c r="O5" s="37">
        <v>623</v>
      </c>
      <c r="P5" s="37">
        <v>1230</v>
      </c>
      <c r="Q5" s="37">
        <v>1514</v>
      </c>
      <c r="R5" s="37">
        <v>1220</v>
      </c>
      <c r="S5" s="37">
        <v>711</v>
      </c>
      <c r="T5" s="37">
        <v>514</v>
      </c>
      <c r="U5" s="37">
        <v>1627</v>
      </c>
      <c r="V5" s="37">
        <v>710</v>
      </c>
      <c r="W5" s="37">
        <v>1616</v>
      </c>
      <c r="X5" s="37">
        <v>1416</v>
      </c>
      <c r="Y5" s="37">
        <v>707</v>
      </c>
      <c r="Z5" s="37">
        <v>609</v>
      </c>
      <c r="AA5" s="37">
        <v>606</v>
      </c>
      <c r="AB5" s="37">
        <v>1506</v>
      </c>
      <c r="AC5" s="37">
        <v>1203</v>
      </c>
      <c r="AD5" s="37">
        <v>1002</v>
      </c>
      <c r="AE5" s="37">
        <v>1403</v>
      </c>
      <c r="AF5" s="37">
        <v>915</v>
      </c>
      <c r="AG5" s="37">
        <v>818</v>
      </c>
      <c r="AH5" s="37">
        <v>817</v>
      </c>
      <c r="AI5" s="37">
        <v>1714</v>
      </c>
      <c r="AJ5" s="37">
        <v>1226</v>
      </c>
      <c r="AK5" s="94">
        <v>1005</v>
      </c>
      <c r="AL5" s="7">
        <v>1605</v>
      </c>
      <c r="AM5" s="7">
        <v>728</v>
      </c>
      <c r="AN5" s="7">
        <v>601</v>
      </c>
      <c r="AO5" s="7">
        <v>1605</v>
      </c>
      <c r="AP5" s="7">
        <v>1603</v>
      </c>
      <c r="AQ5" s="7">
        <v>1618</v>
      </c>
      <c r="AR5" s="7"/>
      <c r="AS5" s="7"/>
      <c r="AT5" s="7"/>
      <c r="AU5" s="9"/>
    </row>
    <row r="6" spans="2:47" s="38" customFormat="1" ht="30" customHeight="1" x14ac:dyDescent="0.2">
      <c r="B6" s="77" t="s">
        <v>12</v>
      </c>
      <c r="C6" s="62" t="s">
        <v>67</v>
      </c>
      <c r="D6" s="35"/>
      <c r="E6" s="39">
        <v>6000</v>
      </c>
      <c r="F6" s="12">
        <f>E6*G6</f>
        <v>60000</v>
      </c>
      <c r="G6" s="95">
        <f t="shared" ref="G6:G19" si="0">SUM(H6:AU6)</f>
        <v>10</v>
      </c>
      <c r="H6" s="40"/>
      <c r="I6" s="40"/>
      <c r="J6" s="40"/>
      <c r="K6" s="40">
        <v>1</v>
      </c>
      <c r="L6" s="40"/>
      <c r="M6" s="40"/>
      <c r="N6" s="40"/>
      <c r="O6" s="40"/>
      <c r="P6" s="40">
        <v>1</v>
      </c>
      <c r="Q6" s="40">
        <v>1</v>
      </c>
      <c r="R6" s="40"/>
      <c r="S6" s="40"/>
      <c r="T6" s="40"/>
      <c r="U6" s="40"/>
      <c r="V6" s="40">
        <v>1</v>
      </c>
      <c r="W6" s="40"/>
      <c r="X6" s="40">
        <v>1</v>
      </c>
      <c r="Y6" s="40"/>
      <c r="Z6" s="40">
        <v>1</v>
      </c>
      <c r="AA6" s="40"/>
      <c r="AB6" s="40">
        <v>1</v>
      </c>
      <c r="AC6" s="40">
        <v>1</v>
      </c>
      <c r="AD6" s="40"/>
      <c r="AE6" s="40"/>
      <c r="AF6" s="40"/>
      <c r="AG6" s="40">
        <v>1</v>
      </c>
      <c r="AH6" s="40"/>
      <c r="AI6" s="40"/>
      <c r="AJ6" s="40"/>
      <c r="AK6" s="97"/>
      <c r="AL6" s="40"/>
      <c r="AM6" s="40"/>
      <c r="AN6" s="40"/>
      <c r="AO6" s="40"/>
      <c r="AP6" s="40">
        <v>1</v>
      </c>
      <c r="AQ6" s="40"/>
      <c r="AR6" s="40"/>
      <c r="AS6" s="40"/>
      <c r="AT6" s="40"/>
      <c r="AU6" s="41"/>
    </row>
    <row r="7" spans="2:47" s="38" customFormat="1" ht="30" customHeight="1" x14ac:dyDescent="0.2">
      <c r="B7" s="78" t="s">
        <v>13</v>
      </c>
      <c r="C7" s="63" t="s">
        <v>54</v>
      </c>
      <c r="D7" s="64"/>
      <c r="E7" s="42">
        <v>6500</v>
      </c>
      <c r="F7" s="18">
        <f t="shared" ref="F7:F19" si="1">E7*G7</f>
        <v>39000</v>
      </c>
      <c r="G7" s="95">
        <f t="shared" si="0"/>
        <v>6</v>
      </c>
      <c r="H7" s="43"/>
      <c r="I7" s="43"/>
      <c r="J7" s="43"/>
      <c r="K7" s="43">
        <v>1</v>
      </c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>
        <v>1</v>
      </c>
      <c r="Y7" s="43"/>
      <c r="Z7" s="43">
        <v>1</v>
      </c>
      <c r="AA7" s="43"/>
      <c r="AB7" s="43">
        <v>1</v>
      </c>
      <c r="AC7" s="43"/>
      <c r="AD7" s="43"/>
      <c r="AE7" s="43"/>
      <c r="AF7" s="43"/>
      <c r="AG7" s="43">
        <v>1</v>
      </c>
      <c r="AH7" s="43"/>
      <c r="AI7" s="43"/>
      <c r="AJ7" s="43"/>
      <c r="AK7" s="98"/>
      <c r="AL7" s="43"/>
      <c r="AM7" s="43"/>
      <c r="AN7" s="43"/>
      <c r="AO7" s="43"/>
      <c r="AP7" s="43">
        <v>1</v>
      </c>
      <c r="AQ7" s="43"/>
      <c r="AR7" s="43"/>
      <c r="AS7" s="43"/>
      <c r="AT7" s="43"/>
      <c r="AU7" s="44"/>
    </row>
    <row r="8" spans="2:47" s="38" customFormat="1" ht="30" customHeight="1" x14ac:dyDescent="0.2">
      <c r="B8" s="78" t="s">
        <v>14</v>
      </c>
      <c r="C8" s="63" t="s">
        <v>65</v>
      </c>
      <c r="D8" s="64"/>
      <c r="E8" s="42">
        <v>7000</v>
      </c>
      <c r="F8" s="18">
        <f t="shared" si="1"/>
        <v>14000</v>
      </c>
      <c r="G8" s="95">
        <f t="shared" si="0"/>
        <v>2</v>
      </c>
      <c r="H8" s="43"/>
      <c r="I8" s="43"/>
      <c r="J8" s="43"/>
      <c r="K8" s="43"/>
      <c r="L8" s="43"/>
      <c r="M8" s="43"/>
      <c r="N8" s="43"/>
      <c r="O8" s="43"/>
      <c r="P8" s="43">
        <v>1</v>
      </c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98"/>
      <c r="AL8" s="43"/>
      <c r="AM8" s="43"/>
      <c r="AN8" s="43"/>
      <c r="AO8" s="43"/>
      <c r="AP8" s="43">
        <v>1</v>
      </c>
      <c r="AQ8" s="43"/>
      <c r="AR8" s="43"/>
      <c r="AS8" s="43"/>
      <c r="AT8" s="43"/>
      <c r="AU8" s="44"/>
    </row>
    <row r="9" spans="2:47" s="38" customFormat="1" ht="30" customHeight="1" x14ac:dyDescent="0.2">
      <c r="B9" s="78" t="s">
        <v>15</v>
      </c>
      <c r="C9" s="63" t="s">
        <v>57</v>
      </c>
      <c r="D9" s="64"/>
      <c r="E9" s="42">
        <v>5500</v>
      </c>
      <c r="F9" s="18">
        <f t="shared" si="1"/>
        <v>121000</v>
      </c>
      <c r="G9" s="95">
        <f t="shared" si="0"/>
        <v>22</v>
      </c>
      <c r="H9" s="43">
        <v>2</v>
      </c>
      <c r="I9" s="43">
        <v>1</v>
      </c>
      <c r="J9" s="43"/>
      <c r="K9" s="43"/>
      <c r="L9" s="43"/>
      <c r="M9" s="43">
        <v>1</v>
      </c>
      <c r="N9" s="43">
        <v>1</v>
      </c>
      <c r="O9" s="43">
        <v>1</v>
      </c>
      <c r="P9" s="43"/>
      <c r="Q9" s="43">
        <v>2</v>
      </c>
      <c r="R9" s="43">
        <v>1</v>
      </c>
      <c r="S9" s="43">
        <v>2</v>
      </c>
      <c r="T9" s="43">
        <v>2</v>
      </c>
      <c r="U9" s="43">
        <v>2</v>
      </c>
      <c r="V9" s="43"/>
      <c r="W9" s="43"/>
      <c r="X9" s="43"/>
      <c r="Y9" s="43"/>
      <c r="Z9" s="43"/>
      <c r="AA9" s="43">
        <v>1</v>
      </c>
      <c r="AB9" s="43"/>
      <c r="AC9" s="43"/>
      <c r="AD9" s="43"/>
      <c r="AE9" s="43"/>
      <c r="AF9" s="43"/>
      <c r="AG9" s="43">
        <v>2</v>
      </c>
      <c r="AH9" s="43">
        <v>1</v>
      </c>
      <c r="AI9" s="43"/>
      <c r="AJ9" s="43"/>
      <c r="AK9" s="98"/>
      <c r="AL9" s="43"/>
      <c r="AM9" s="43"/>
      <c r="AN9" s="43"/>
      <c r="AO9" s="43">
        <v>1</v>
      </c>
      <c r="AP9" s="43"/>
      <c r="AQ9" s="43">
        <v>2</v>
      </c>
      <c r="AR9" s="43"/>
      <c r="AS9" s="43"/>
      <c r="AT9" s="43"/>
      <c r="AU9" s="44"/>
    </row>
    <row r="10" spans="2:47" s="38" customFormat="1" ht="30" customHeight="1" x14ac:dyDescent="0.2">
      <c r="B10" s="78" t="s">
        <v>16</v>
      </c>
      <c r="C10" s="63" t="s">
        <v>58</v>
      </c>
      <c r="D10" s="64"/>
      <c r="E10" s="42">
        <v>4000</v>
      </c>
      <c r="F10" s="18">
        <f t="shared" si="1"/>
        <v>8000</v>
      </c>
      <c r="G10" s="95">
        <f t="shared" si="0"/>
        <v>2</v>
      </c>
      <c r="H10" s="43"/>
      <c r="I10" s="43"/>
      <c r="J10" s="43"/>
      <c r="K10" s="43"/>
      <c r="L10" s="43">
        <v>1</v>
      </c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98"/>
      <c r="AL10" s="43"/>
      <c r="AM10" s="43"/>
      <c r="AN10" s="43"/>
      <c r="AO10" s="43"/>
      <c r="AP10" s="43"/>
      <c r="AQ10" s="43">
        <v>1</v>
      </c>
      <c r="AR10" s="43"/>
      <c r="AS10" s="43"/>
      <c r="AT10" s="43"/>
      <c r="AU10" s="44"/>
    </row>
    <row r="11" spans="2:47" s="38" customFormat="1" ht="30" customHeight="1" x14ac:dyDescent="0.2">
      <c r="B11" s="78" t="s">
        <v>17</v>
      </c>
      <c r="C11" s="63" t="s">
        <v>59</v>
      </c>
      <c r="D11" s="64"/>
      <c r="E11" s="42">
        <v>4000</v>
      </c>
      <c r="F11" s="18">
        <f t="shared" si="1"/>
        <v>36000</v>
      </c>
      <c r="G11" s="95">
        <f t="shared" si="0"/>
        <v>9</v>
      </c>
      <c r="H11" s="43"/>
      <c r="I11" s="43"/>
      <c r="J11" s="43">
        <v>1</v>
      </c>
      <c r="K11" s="43"/>
      <c r="L11" s="43"/>
      <c r="M11" s="43"/>
      <c r="N11" s="43"/>
      <c r="O11" s="43"/>
      <c r="P11" s="43"/>
      <c r="Q11" s="43">
        <v>1</v>
      </c>
      <c r="R11" s="43"/>
      <c r="S11" s="43"/>
      <c r="T11" s="43"/>
      <c r="U11" s="43"/>
      <c r="V11" s="43">
        <v>1</v>
      </c>
      <c r="W11" s="43"/>
      <c r="X11" s="43">
        <v>1</v>
      </c>
      <c r="Y11" s="43"/>
      <c r="Z11" s="43">
        <v>1</v>
      </c>
      <c r="AA11" s="43"/>
      <c r="AB11" s="43">
        <v>1</v>
      </c>
      <c r="AC11" s="43"/>
      <c r="AD11" s="43"/>
      <c r="AE11" s="43"/>
      <c r="AF11" s="43"/>
      <c r="AG11" s="43"/>
      <c r="AH11" s="43"/>
      <c r="AI11" s="43"/>
      <c r="AJ11" s="43"/>
      <c r="AK11" s="98">
        <v>1</v>
      </c>
      <c r="AL11" s="43">
        <v>1</v>
      </c>
      <c r="AM11" s="43"/>
      <c r="AN11" s="43">
        <v>1</v>
      </c>
      <c r="AO11" s="43"/>
      <c r="AP11" s="43"/>
      <c r="AQ11" s="43"/>
      <c r="AR11" s="43"/>
      <c r="AS11" s="43"/>
      <c r="AT11" s="43"/>
      <c r="AU11" s="44"/>
    </row>
    <row r="12" spans="2:47" s="38" customFormat="1" ht="30" customHeight="1" x14ac:dyDescent="0.2">
      <c r="B12" s="78" t="s">
        <v>18</v>
      </c>
      <c r="C12" s="63" t="s">
        <v>60</v>
      </c>
      <c r="D12" s="64"/>
      <c r="E12" s="42">
        <v>4000</v>
      </c>
      <c r="F12" s="18">
        <f t="shared" si="1"/>
        <v>16000</v>
      </c>
      <c r="G12" s="95">
        <f t="shared" si="0"/>
        <v>4</v>
      </c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>
        <v>1</v>
      </c>
      <c r="Z12" s="43"/>
      <c r="AA12" s="43"/>
      <c r="AB12" s="43"/>
      <c r="AC12" s="43"/>
      <c r="AD12" s="43"/>
      <c r="AE12" s="43">
        <v>1</v>
      </c>
      <c r="AF12" s="43"/>
      <c r="AG12" s="43"/>
      <c r="AH12" s="43"/>
      <c r="AI12" s="43"/>
      <c r="AJ12" s="43"/>
      <c r="AK12" s="98"/>
      <c r="AL12" s="43"/>
      <c r="AM12" s="43">
        <v>1</v>
      </c>
      <c r="AN12" s="43"/>
      <c r="AO12" s="43"/>
      <c r="AP12" s="43"/>
      <c r="AQ12" s="43">
        <v>1</v>
      </c>
      <c r="AR12" s="43"/>
      <c r="AS12" s="43"/>
      <c r="AT12" s="43"/>
      <c r="AU12" s="44"/>
    </row>
    <row r="13" spans="2:47" s="38" customFormat="1" ht="30" customHeight="1" x14ac:dyDescent="0.2">
      <c r="B13" s="78" t="s">
        <v>19</v>
      </c>
      <c r="C13" s="63" t="s">
        <v>59</v>
      </c>
      <c r="D13" s="64"/>
      <c r="E13" s="42">
        <v>5000</v>
      </c>
      <c r="F13" s="18">
        <f t="shared" si="1"/>
        <v>5000</v>
      </c>
      <c r="G13" s="95">
        <f t="shared" si="0"/>
        <v>1</v>
      </c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>
        <v>1</v>
      </c>
      <c r="AK13" s="99"/>
      <c r="AL13" s="43"/>
      <c r="AM13" s="43"/>
      <c r="AN13" s="43"/>
      <c r="AO13" s="43"/>
      <c r="AP13" s="43"/>
      <c r="AQ13" s="43"/>
      <c r="AR13" s="43"/>
      <c r="AS13" s="43"/>
      <c r="AT13" s="43"/>
      <c r="AU13" s="44"/>
    </row>
    <row r="14" spans="2:47" s="38" customFormat="1" ht="30" customHeight="1" x14ac:dyDescent="0.2">
      <c r="B14" s="78" t="s">
        <v>20</v>
      </c>
      <c r="C14" s="63" t="s">
        <v>53</v>
      </c>
      <c r="D14" s="64"/>
      <c r="E14" s="42">
        <v>7000</v>
      </c>
      <c r="F14" s="18">
        <f t="shared" si="1"/>
        <v>14000</v>
      </c>
      <c r="G14" s="95">
        <f t="shared" si="0"/>
        <v>2</v>
      </c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>
        <v>1</v>
      </c>
      <c r="AF14" s="43">
        <v>1</v>
      </c>
      <c r="AG14" s="43"/>
      <c r="AH14" s="43"/>
      <c r="AI14" s="43"/>
      <c r="AJ14" s="43"/>
      <c r="AK14" s="98"/>
      <c r="AL14" s="43"/>
      <c r="AM14" s="43"/>
      <c r="AN14" s="43"/>
      <c r="AO14" s="43"/>
      <c r="AP14" s="43"/>
      <c r="AQ14" s="43"/>
      <c r="AR14" s="43"/>
      <c r="AS14" s="43"/>
      <c r="AT14" s="43"/>
      <c r="AU14" s="44"/>
    </row>
    <row r="15" spans="2:47" s="38" customFormat="1" ht="30" customHeight="1" x14ac:dyDescent="0.2">
      <c r="B15" s="78" t="s">
        <v>21</v>
      </c>
      <c r="C15" s="63" t="s">
        <v>66</v>
      </c>
      <c r="D15" s="64"/>
      <c r="E15" s="42">
        <v>7000</v>
      </c>
      <c r="F15" s="18">
        <f t="shared" si="1"/>
        <v>49000</v>
      </c>
      <c r="G15" s="95">
        <f t="shared" si="0"/>
        <v>7</v>
      </c>
      <c r="H15" s="43"/>
      <c r="I15" s="43"/>
      <c r="J15" s="43">
        <v>1</v>
      </c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>
        <v>1</v>
      </c>
      <c r="X15" s="43"/>
      <c r="Y15" s="43"/>
      <c r="Z15" s="43"/>
      <c r="AA15" s="43"/>
      <c r="AB15" s="43"/>
      <c r="AC15" s="43"/>
      <c r="AD15" s="43">
        <v>1</v>
      </c>
      <c r="AE15" s="43">
        <v>1</v>
      </c>
      <c r="AF15" s="43">
        <v>1</v>
      </c>
      <c r="AG15" s="43"/>
      <c r="AH15" s="43"/>
      <c r="AI15" s="43">
        <v>1</v>
      </c>
      <c r="AJ15" s="43"/>
      <c r="AK15" s="98"/>
      <c r="AL15" s="43"/>
      <c r="AM15" s="43"/>
      <c r="AN15" s="43"/>
      <c r="AO15" s="43"/>
      <c r="AP15" s="43"/>
      <c r="AQ15" s="43">
        <v>1</v>
      </c>
      <c r="AR15" s="43"/>
      <c r="AS15" s="43"/>
      <c r="AT15" s="43"/>
      <c r="AU15" s="44"/>
    </row>
    <row r="16" spans="2:47" s="38" customFormat="1" ht="30" customHeight="1" x14ac:dyDescent="0.2">
      <c r="B16" s="78" t="s">
        <v>22</v>
      </c>
      <c r="C16" s="63"/>
      <c r="D16" s="64"/>
      <c r="E16" s="42">
        <v>7000</v>
      </c>
      <c r="F16" s="18">
        <f t="shared" si="1"/>
        <v>0</v>
      </c>
      <c r="G16" s="95">
        <f t="shared" si="0"/>
        <v>0</v>
      </c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98"/>
      <c r="AL16" s="43"/>
      <c r="AM16" s="43"/>
      <c r="AN16" s="43"/>
      <c r="AO16" s="43"/>
      <c r="AP16" s="43"/>
      <c r="AQ16" s="43"/>
      <c r="AR16" s="43"/>
      <c r="AS16" s="43"/>
      <c r="AT16" s="43"/>
      <c r="AU16" s="44"/>
    </row>
    <row r="17" spans="2:47" s="38" customFormat="1" ht="30" customHeight="1" x14ac:dyDescent="0.2">
      <c r="B17" s="78" t="s">
        <v>23</v>
      </c>
      <c r="C17" s="63"/>
      <c r="D17" s="64"/>
      <c r="E17" s="42">
        <v>7000</v>
      </c>
      <c r="F17" s="18">
        <f t="shared" si="1"/>
        <v>0</v>
      </c>
      <c r="G17" s="95">
        <f t="shared" si="0"/>
        <v>0</v>
      </c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98"/>
      <c r="AL17" s="43"/>
      <c r="AM17" s="43"/>
      <c r="AN17" s="43"/>
      <c r="AO17" s="43"/>
      <c r="AP17" s="43"/>
      <c r="AQ17" s="43"/>
      <c r="AR17" s="43"/>
      <c r="AS17" s="43"/>
      <c r="AT17" s="43"/>
      <c r="AU17" s="44"/>
    </row>
    <row r="18" spans="2:47" s="38" customFormat="1" ht="30" customHeight="1" x14ac:dyDescent="0.2">
      <c r="B18" s="78" t="s">
        <v>24</v>
      </c>
      <c r="C18" s="63"/>
      <c r="D18" s="64"/>
      <c r="E18" s="42">
        <v>7000</v>
      </c>
      <c r="F18" s="18">
        <f t="shared" si="1"/>
        <v>0</v>
      </c>
      <c r="G18" s="95">
        <f t="shared" si="0"/>
        <v>0</v>
      </c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99"/>
      <c r="AL18" s="43"/>
      <c r="AM18" s="43"/>
      <c r="AN18" s="43"/>
      <c r="AO18" s="43"/>
      <c r="AP18" s="43"/>
      <c r="AQ18" s="43"/>
      <c r="AR18" s="43"/>
      <c r="AS18" s="43"/>
      <c r="AT18" s="43"/>
      <c r="AU18" s="44"/>
    </row>
    <row r="19" spans="2:47" s="38" customFormat="1" ht="30" customHeight="1" x14ac:dyDescent="0.2">
      <c r="B19" s="79" t="s">
        <v>25</v>
      </c>
      <c r="C19" s="65"/>
      <c r="D19" s="9"/>
      <c r="E19" s="61">
        <v>7000</v>
      </c>
      <c r="F19" s="50">
        <f t="shared" si="1"/>
        <v>0</v>
      </c>
      <c r="G19" s="95">
        <f t="shared" si="0"/>
        <v>0</v>
      </c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98"/>
      <c r="AL19" s="45"/>
      <c r="AM19" s="45"/>
      <c r="AN19" s="45"/>
      <c r="AO19" s="45"/>
      <c r="AP19" s="45"/>
      <c r="AQ19" s="45"/>
      <c r="AR19" s="45"/>
      <c r="AS19" s="45"/>
      <c r="AT19" s="45"/>
      <c r="AU19" s="60"/>
    </row>
    <row r="20" spans="2:47" s="38" customFormat="1" ht="20.100000000000001" customHeight="1" x14ac:dyDescent="0.2">
      <c r="B20" s="139" t="s">
        <v>8</v>
      </c>
      <c r="C20" s="140"/>
      <c r="D20" s="144"/>
      <c r="E20" s="146">
        <f>SUM(E6:E8,E10:E15)+E9*2</f>
        <v>61500</v>
      </c>
      <c r="F20" s="125">
        <f t="shared" ref="F20:X20" si="2">SUM(F6:F19)</f>
        <v>362000</v>
      </c>
      <c r="G20" s="125">
        <f t="shared" si="2"/>
        <v>65</v>
      </c>
      <c r="H20" s="23">
        <f t="shared" si="2"/>
        <v>2</v>
      </c>
      <c r="I20" s="23">
        <f t="shared" si="2"/>
        <v>1</v>
      </c>
      <c r="J20" s="23">
        <f t="shared" si="2"/>
        <v>2</v>
      </c>
      <c r="K20" s="23">
        <f t="shared" si="2"/>
        <v>2</v>
      </c>
      <c r="L20" s="23">
        <f t="shared" si="2"/>
        <v>1</v>
      </c>
      <c r="M20" s="23">
        <f t="shared" si="2"/>
        <v>1</v>
      </c>
      <c r="N20" s="23">
        <f t="shared" si="2"/>
        <v>1</v>
      </c>
      <c r="O20" s="23">
        <f t="shared" si="2"/>
        <v>1</v>
      </c>
      <c r="P20" s="23">
        <f t="shared" si="2"/>
        <v>2</v>
      </c>
      <c r="Q20" s="23">
        <f t="shared" si="2"/>
        <v>4</v>
      </c>
      <c r="R20" s="23">
        <f t="shared" si="2"/>
        <v>1</v>
      </c>
      <c r="S20" s="23">
        <f t="shared" si="2"/>
        <v>2</v>
      </c>
      <c r="T20" s="23">
        <f t="shared" si="2"/>
        <v>2</v>
      </c>
      <c r="U20" s="23">
        <f t="shared" si="2"/>
        <v>2</v>
      </c>
      <c r="V20" s="23">
        <f t="shared" si="2"/>
        <v>2</v>
      </c>
      <c r="W20" s="23">
        <f t="shared" si="2"/>
        <v>1</v>
      </c>
      <c r="X20" s="23">
        <f t="shared" si="2"/>
        <v>3</v>
      </c>
      <c r="Y20" s="23">
        <f t="shared" ref="Y20:AH20" si="3">SUM(Y6:Y19)</f>
        <v>1</v>
      </c>
      <c r="Z20" s="23">
        <f t="shared" si="3"/>
        <v>3</v>
      </c>
      <c r="AA20" s="23">
        <f t="shared" si="3"/>
        <v>1</v>
      </c>
      <c r="AB20" s="23">
        <f t="shared" si="3"/>
        <v>3</v>
      </c>
      <c r="AC20" s="23">
        <f t="shared" si="3"/>
        <v>1</v>
      </c>
      <c r="AD20" s="23">
        <f t="shared" si="3"/>
        <v>1</v>
      </c>
      <c r="AE20" s="23">
        <f t="shared" si="3"/>
        <v>3</v>
      </c>
      <c r="AF20" s="23">
        <f t="shared" si="3"/>
        <v>2</v>
      </c>
      <c r="AG20" s="23">
        <f t="shared" si="3"/>
        <v>4</v>
      </c>
      <c r="AH20" s="23">
        <f t="shared" si="3"/>
        <v>1</v>
      </c>
      <c r="AI20" s="23">
        <f>SUM(AI6:AI19)</f>
        <v>1</v>
      </c>
      <c r="AJ20" s="23">
        <f>SUM(AJ6:AJ19)</f>
        <v>1</v>
      </c>
      <c r="AK20" s="100">
        <f>SUM(AK6:AK19)</f>
        <v>1</v>
      </c>
      <c r="AL20" s="101">
        <f>SUM(AL6:AL19)</f>
        <v>1</v>
      </c>
      <c r="AM20" s="101">
        <f t="shared" ref="AM20:AU20" si="4">SUM(AM6:AM19)</f>
        <v>1</v>
      </c>
      <c r="AN20" s="101">
        <f t="shared" si="4"/>
        <v>1</v>
      </c>
      <c r="AO20" s="101">
        <f t="shared" si="4"/>
        <v>1</v>
      </c>
      <c r="AP20" s="101">
        <f t="shared" si="4"/>
        <v>3</v>
      </c>
      <c r="AQ20" s="101">
        <f t="shared" si="4"/>
        <v>5</v>
      </c>
      <c r="AR20" s="101">
        <f t="shared" si="4"/>
        <v>0</v>
      </c>
      <c r="AS20" s="101">
        <f t="shared" si="4"/>
        <v>0</v>
      </c>
      <c r="AT20" s="101">
        <f t="shared" si="4"/>
        <v>0</v>
      </c>
      <c r="AU20" s="102">
        <f t="shared" si="4"/>
        <v>0</v>
      </c>
    </row>
    <row r="21" spans="2:47" s="38" customFormat="1" ht="20.100000000000001" customHeight="1" x14ac:dyDescent="0.2">
      <c r="B21" s="141"/>
      <c r="C21" s="142"/>
      <c r="D21" s="145"/>
      <c r="E21" s="147"/>
      <c r="F21" s="126"/>
      <c r="G21" s="126"/>
      <c r="H21" s="46">
        <f>$E6*H6+$E7*H7+$E8*H8+$E9*H9+$E10*H10+$E11*H11+$E12*H12+$E14*H14+$E15*H15+$E16*H16+$E17*H17+$E18*H18+$E19*H19+$E13*H13</f>
        <v>11000</v>
      </c>
      <c r="I21" s="28">
        <f t="shared" ref="I21:AK21" si="5">$E6*I6+$E7*I7+$E8*I8+$E9*I9+$E10*I10+$E11*I11+$E12*I12+$E14*I14+$E15*I15+$E16*I16+$E17*I17+$E18*I18+$E19*I19+$E13*I13</f>
        <v>5500</v>
      </c>
      <c r="J21" s="28">
        <f t="shared" si="5"/>
        <v>11000</v>
      </c>
      <c r="K21" s="28">
        <f t="shared" si="5"/>
        <v>12500</v>
      </c>
      <c r="L21" s="28">
        <f t="shared" si="5"/>
        <v>4000</v>
      </c>
      <c r="M21" s="28">
        <f t="shared" si="5"/>
        <v>5500</v>
      </c>
      <c r="N21" s="28">
        <f t="shared" si="5"/>
        <v>5500</v>
      </c>
      <c r="O21" s="28">
        <f t="shared" si="5"/>
        <v>5500</v>
      </c>
      <c r="P21" s="28">
        <f t="shared" si="5"/>
        <v>13000</v>
      </c>
      <c r="Q21" s="28">
        <f t="shared" si="5"/>
        <v>21000</v>
      </c>
      <c r="R21" s="28">
        <f t="shared" si="5"/>
        <v>5500</v>
      </c>
      <c r="S21" s="28">
        <f t="shared" si="5"/>
        <v>11000</v>
      </c>
      <c r="T21" s="28">
        <f t="shared" si="5"/>
        <v>11000</v>
      </c>
      <c r="U21" s="28">
        <f t="shared" si="5"/>
        <v>11000</v>
      </c>
      <c r="V21" s="28">
        <f t="shared" si="5"/>
        <v>10000</v>
      </c>
      <c r="W21" s="28">
        <f t="shared" si="5"/>
        <v>7000</v>
      </c>
      <c r="X21" s="28">
        <f t="shared" si="5"/>
        <v>16500</v>
      </c>
      <c r="Y21" s="28">
        <f t="shared" si="5"/>
        <v>4000</v>
      </c>
      <c r="Z21" s="28">
        <f t="shared" si="5"/>
        <v>16500</v>
      </c>
      <c r="AA21" s="28">
        <f t="shared" si="5"/>
        <v>5500</v>
      </c>
      <c r="AB21" s="28">
        <f t="shared" si="5"/>
        <v>16500</v>
      </c>
      <c r="AC21" s="28">
        <f t="shared" si="5"/>
        <v>6000</v>
      </c>
      <c r="AD21" s="28">
        <f t="shared" si="5"/>
        <v>7000</v>
      </c>
      <c r="AE21" s="28">
        <f t="shared" si="5"/>
        <v>18000</v>
      </c>
      <c r="AF21" s="28">
        <f t="shared" si="5"/>
        <v>14000</v>
      </c>
      <c r="AG21" s="28">
        <f t="shared" si="5"/>
        <v>23500</v>
      </c>
      <c r="AH21" s="28">
        <f t="shared" si="5"/>
        <v>5500</v>
      </c>
      <c r="AI21" s="28">
        <f t="shared" si="5"/>
        <v>7000</v>
      </c>
      <c r="AJ21" s="28">
        <f t="shared" si="5"/>
        <v>5000</v>
      </c>
      <c r="AK21" s="74">
        <f t="shared" si="5"/>
        <v>4000</v>
      </c>
      <c r="AL21" s="28">
        <f>$E6*AL6+$E7*AL7+$E8*AL8+$E9*AL9+$E10*AL10+$E11*AL11+$E12*AL12+$E14*AL14+$E15*AL15+$E16*AL16+$E17*AL17+$E18*AL18+$E19*AL19+$E13*AL13</f>
        <v>4000</v>
      </c>
      <c r="AM21" s="28">
        <f>$E6*AM6+$E7*AM7+$E8*AM8+$E9*AM9+$E10*AM10+$E11*AM11+$E12*AM12+$E14*AM14+$E15*AM15+$E16*AM16+$E17*AM17+$E18*AM18+$E19*AM19+$E13*AM13</f>
        <v>4000</v>
      </c>
      <c r="AN21" s="28">
        <f>$E6*AN6+$E7*AN7+$E8*AN8+$E9*AN9+$E10*AN10+$E11*AN11+$E12*AN12+$E14*AN14+$E15*AN15+$E16*AN16+$E17*AN17+$E18*AN18+$E19*AN19+$E13*AN13</f>
        <v>4000</v>
      </c>
      <c r="AO21" s="28">
        <f t="shared" ref="AO21:AU21" si="6">$E6*AO6+$E7*AO7+$E8*AO8+$E9*AO9+$E10*AO10+$E11*AO11+$E12*AO12+$E14*AO14+$E15*AO15+$E16*AO16+$E17*AO17+$E18*AO18+$E19*AO19+$E13*AO13</f>
        <v>5500</v>
      </c>
      <c r="AP21" s="28">
        <f t="shared" si="6"/>
        <v>19500</v>
      </c>
      <c r="AQ21" s="28">
        <f t="shared" si="6"/>
        <v>26000</v>
      </c>
      <c r="AR21" s="28">
        <f t="shared" si="6"/>
        <v>0</v>
      </c>
      <c r="AS21" s="28">
        <f t="shared" si="6"/>
        <v>0</v>
      </c>
      <c r="AT21" s="28">
        <f t="shared" si="6"/>
        <v>0</v>
      </c>
      <c r="AU21" s="29">
        <f t="shared" si="6"/>
        <v>0</v>
      </c>
    </row>
  </sheetData>
  <sheetProtection password="CC67" sheet="1" objects="1" scenarios="1"/>
  <mergeCells count="10">
    <mergeCell ref="B20:D21"/>
    <mergeCell ref="E20:E21"/>
    <mergeCell ref="F20:F21"/>
    <mergeCell ref="G20:G21"/>
    <mergeCell ref="B2:G2"/>
    <mergeCell ref="B4:B5"/>
    <mergeCell ref="C4:C5"/>
    <mergeCell ref="D4:D5"/>
    <mergeCell ref="E4:E5"/>
    <mergeCell ref="F4:F5"/>
  </mergeCells>
  <phoneticPr fontId="2" type="noConversion"/>
  <pageMargins left="0.7" right="0.7" top="0.75" bottom="0.75" header="0.3" footer="0.3"/>
  <pageSetup paperSize="9" scale="31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B1:AU21"/>
  <sheetViews>
    <sheetView showGridLines="0" zoomScale="85" zoomScaleNormal="85" workbookViewId="0">
      <pane xSplit="7" ySplit="5" topLeftCell="H6" activePane="bottomRight" state="frozen"/>
      <selection pane="topRight" activeCell="G1" sqref="G1"/>
      <selection pane="bottomLeft" activeCell="A6" sqref="A6"/>
      <selection pane="bottomRight" activeCell="D18" sqref="D18"/>
    </sheetView>
  </sheetViews>
  <sheetFormatPr defaultColWidth="9.125" defaultRowHeight="14.25" x14ac:dyDescent="0.2"/>
  <cols>
    <col min="1" max="1" width="0.375" style="1" customWidth="1"/>
    <col min="2" max="2" width="16.875" style="1" bestFit="1" customWidth="1"/>
    <col min="3" max="4" width="13.625" style="1" customWidth="1"/>
    <col min="5" max="5" width="10.625" style="1" hidden="1" customWidth="1"/>
    <col min="6" max="6" width="10.625" style="1" customWidth="1"/>
    <col min="7" max="7" width="10.625" style="3" customWidth="1"/>
    <col min="8" max="22" width="10.625" style="4" customWidth="1"/>
    <col min="23" max="47" width="10.625" style="1" customWidth="1"/>
    <col min="48" max="16384" width="9.125" style="1"/>
  </cols>
  <sheetData>
    <row r="1" spans="2:47" ht="3.75" customHeight="1" x14ac:dyDescent="0.2"/>
    <row r="2" spans="2:47" ht="20.25" x14ac:dyDescent="0.2">
      <c r="B2" s="149" t="s">
        <v>26</v>
      </c>
      <c r="C2" s="149"/>
      <c r="D2" s="149"/>
      <c r="E2" s="149"/>
      <c r="F2" s="149"/>
      <c r="G2" s="149"/>
    </row>
    <row r="3" spans="2:47" ht="4.9000000000000004" customHeight="1" x14ac:dyDescent="0.2"/>
    <row r="4" spans="2:47" s="38" customFormat="1" ht="20.100000000000001" customHeight="1" x14ac:dyDescent="0.2">
      <c r="B4" s="150" t="s">
        <v>3</v>
      </c>
      <c r="C4" s="123" t="s">
        <v>45</v>
      </c>
      <c r="D4" s="153" t="s">
        <v>46</v>
      </c>
      <c r="E4" s="135" t="s">
        <v>4</v>
      </c>
      <c r="F4" s="129" t="s">
        <v>5</v>
      </c>
      <c r="G4" s="32" t="s">
        <v>0</v>
      </c>
      <c r="H4" s="33">
        <v>1</v>
      </c>
      <c r="I4" s="34">
        <v>2</v>
      </c>
      <c r="J4" s="34">
        <v>3</v>
      </c>
      <c r="K4" s="34">
        <v>4</v>
      </c>
      <c r="L4" s="34">
        <v>5</v>
      </c>
      <c r="M4" s="34">
        <v>6</v>
      </c>
      <c r="N4" s="34">
        <v>7</v>
      </c>
      <c r="O4" s="34">
        <v>8</v>
      </c>
      <c r="P4" s="34">
        <v>9</v>
      </c>
      <c r="Q4" s="34">
        <v>10</v>
      </c>
      <c r="R4" s="34">
        <v>11</v>
      </c>
      <c r="S4" s="34">
        <v>12</v>
      </c>
      <c r="T4" s="34">
        <v>13</v>
      </c>
      <c r="U4" s="34">
        <v>14</v>
      </c>
      <c r="V4" s="34">
        <v>15</v>
      </c>
      <c r="W4" s="34">
        <v>16</v>
      </c>
      <c r="X4" s="34">
        <v>17</v>
      </c>
      <c r="Y4" s="33">
        <v>18</v>
      </c>
      <c r="Z4" s="34">
        <v>19</v>
      </c>
      <c r="AA4" s="34">
        <v>20</v>
      </c>
      <c r="AB4" s="34">
        <v>21</v>
      </c>
      <c r="AC4" s="34">
        <v>22</v>
      </c>
      <c r="AD4" s="34">
        <v>23</v>
      </c>
      <c r="AE4" s="34">
        <v>24</v>
      </c>
      <c r="AF4" s="34">
        <v>25</v>
      </c>
      <c r="AG4" s="34">
        <v>26</v>
      </c>
      <c r="AH4" s="34">
        <v>27</v>
      </c>
      <c r="AI4" s="34">
        <v>28</v>
      </c>
      <c r="AJ4" s="34">
        <v>29</v>
      </c>
      <c r="AK4" s="96">
        <v>30</v>
      </c>
      <c r="AL4" s="34">
        <v>31</v>
      </c>
      <c r="AM4" s="34">
        <v>32</v>
      </c>
      <c r="AN4" s="34">
        <v>33</v>
      </c>
      <c r="AO4" s="34">
        <v>34</v>
      </c>
      <c r="AP4" s="34">
        <v>35</v>
      </c>
      <c r="AQ4" s="34">
        <v>36</v>
      </c>
      <c r="AR4" s="34">
        <v>37</v>
      </c>
      <c r="AS4" s="34">
        <v>38</v>
      </c>
      <c r="AT4" s="34">
        <v>39</v>
      </c>
      <c r="AU4" s="35">
        <v>40</v>
      </c>
    </row>
    <row r="5" spans="2:47" s="38" customFormat="1" ht="20.100000000000001" customHeight="1" x14ac:dyDescent="0.2">
      <c r="B5" s="151"/>
      <c r="C5" s="152"/>
      <c r="D5" s="154"/>
      <c r="E5" s="136"/>
      <c r="F5" s="130"/>
      <c r="G5" s="36" t="s">
        <v>1</v>
      </c>
      <c r="H5" s="37">
        <v>512</v>
      </c>
      <c r="I5" s="37">
        <v>1619</v>
      </c>
      <c r="J5" s="37">
        <v>1220</v>
      </c>
      <c r="K5" s="37">
        <v>629</v>
      </c>
      <c r="L5" s="37">
        <v>1425</v>
      </c>
      <c r="M5" s="37">
        <v>1130</v>
      </c>
      <c r="N5" s="37">
        <v>711</v>
      </c>
      <c r="O5" s="37">
        <v>1421</v>
      </c>
      <c r="P5" s="37">
        <v>1121</v>
      </c>
      <c r="Q5" s="37">
        <v>628</v>
      </c>
      <c r="R5" s="37">
        <v>1514</v>
      </c>
      <c r="S5" s="37">
        <v>1428</v>
      </c>
      <c r="T5" s="37">
        <v>609</v>
      </c>
      <c r="U5" s="37">
        <v>620</v>
      </c>
      <c r="V5" s="37">
        <v>503</v>
      </c>
      <c r="W5" s="37">
        <v>611</v>
      </c>
      <c r="X5" s="37">
        <v>1602</v>
      </c>
      <c r="Y5" s="37">
        <v>1618</v>
      </c>
      <c r="Z5" s="37">
        <v>930</v>
      </c>
      <c r="AA5" s="37">
        <v>1805</v>
      </c>
      <c r="AB5" s="37">
        <v>831</v>
      </c>
      <c r="AC5" s="37">
        <v>1420</v>
      </c>
      <c r="AD5" s="37">
        <v>1806</v>
      </c>
      <c r="AE5" s="37">
        <v>1405</v>
      </c>
      <c r="AF5" s="37">
        <v>1419</v>
      </c>
      <c r="AG5" s="37">
        <v>603</v>
      </c>
      <c r="AH5" s="37">
        <v>1031</v>
      </c>
      <c r="AI5" s="37">
        <v>1231</v>
      </c>
      <c r="AJ5" s="37">
        <v>1230</v>
      </c>
      <c r="AK5" s="94">
        <v>1116</v>
      </c>
      <c r="AL5" s="7">
        <v>1229</v>
      </c>
      <c r="AM5" s="7">
        <v>826</v>
      </c>
      <c r="AN5" s="7">
        <v>1403</v>
      </c>
      <c r="AO5" s="7">
        <v>1705</v>
      </c>
      <c r="AP5" s="7">
        <v>1714</v>
      </c>
      <c r="AQ5" s="7">
        <v>1115</v>
      </c>
      <c r="AR5" s="7">
        <v>1727</v>
      </c>
      <c r="AS5" s="7">
        <v>1729</v>
      </c>
      <c r="AT5" s="7"/>
      <c r="AU5" s="9"/>
    </row>
    <row r="6" spans="2:47" s="38" customFormat="1" ht="30" customHeight="1" x14ac:dyDescent="0.2">
      <c r="B6" s="77" t="s">
        <v>12</v>
      </c>
      <c r="C6" s="62" t="s">
        <v>53</v>
      </c>
      <c r="D6" s="35"/>
      <c r="E6" s="39">
        <v>6000</v>
      </c>
      <c r="F6" s="12">
        <f>E6*G6</f>
        <v>60000</v>
      </c>
      <c r="G6" s="95">
        <f t="shared" ref="G6:G19" si="0">SUM(H6:AU6)</f>
        <v>10</v>
      </c>
      <c r="H6" s="40"/>
      <c r="I6" s="40"/>
      <c r="J6" s="40"/>
      <c r="K6" s="40"/>
      <c r="L6" s="40">
        <v>1</v>
      </c>
      <c r="M6" s="40">
        <v>1</v>
      </c>
      <c r="N6" s="40"/>
      <c r="O6" s="40">
        <v>1</v>
      </c>
      <c r="P6" s="40">
        <v>1</v>
      </c>
      <c r="Q6" s="40">
        <v>1</v>
      </c>
      <c r="R6" s="40"/>
      <c r="S6" s="40"/>
      <c r="T6" s="40">
        <v>1</v>
      </c>
      <c r="U6" s="40"/>
      <c r="V6" s="40">
        <v>1</v>
      </c>
      <c r="W6" s="40"/>
      <c r="X6" s="40"/>
      <c r="Y6" s="40"/>
      <c r="Z6" s="40"/>
      <c r="AA6" s="40"/>
      <c r="AB6" s="40"/>
      <c r="AC6" s="40">
        <v>1</v>
      </c>
      <c r="AD6" s="40"/>
      <c r="AE6" s="40"/>
      <c r="AF6" s="40"/>
      <c r="AG6" s="40"/>
      <c r="AH6" s="40"/>
      <c r="AI6" s="40">
        <v>1</v>
      </c>
      <c r="AJ6" s="40"/>
      <c r="AK6" s="97"/>
      <c r="AL6" s="40"/>
      <c r="AM6" s="40"/>
      <c r="AN6" s="40"/>
      <c r="AO6" s="40"/>
      <c r="AP6" s="40">
        <v>1</v>
      </c>
      <c r="AQ6" s="40"/>
      <c r="AR6" s="40"/>
      <c r="AS6" s="40"/>
      <c r="AT6" s="40"/>
      <c r="AU6" s="41"/>
    </row>
    <row r="7" spans="2:47" s="38" customFormat="1" ht="30" customHeight="1" x14ac:dyDescent="0.2">
      <c r="B7" s="78" t="s">
        <v>13</v>
      </c>
      <c r="C7" s="63" t="s">
        <v>68</v>
      </c>
      <c r="D7" s="64"/>
      <c r="E7" s="42">
        <v>6500</v>
      </c>
      <c r="F7" s="18">
        <f t="shared" ref="F7:F19" si="1">E7*G7</f>
        <v>45500</v>
      </c>
      <c r="G7" s="95">
        <f t="shared" si="0"/>
        <v>7</v>
      </c>
      <c r="H7" s="43"/>
      <c r="I7" s="43"/>
      <c r="J7" s="43"/>
      <c r="K7" s="43">
        <v>1</v>
      </c>
      <c r="L7" s="43"/>
      <c r="M7" s="43"/>
      <c r="N7" s="43"/>
      <c r="O7" s="43">
        <v>1</v>
      </c>
      <c r="P7" s="43"/>
      <c r="Q7" s="43"/>
      <c r="R7" s="43"/>
      <c r="S7" s="43"/>
      <c r="T7" s="43"/>
      <c r="U7" s="43"/>
      <c r="V7" s="43">
        <v>1</v>
      </c>
      <c r="W7" s="43"/>
      <c r="X7" s="43"/>
      <c r="Y7" s="43"/>
      <c r="Z7" s="43">
        <v>1</v>
      </c>
      <c r="AA7" s="43"/>
      <c r="AB7" s="43"/>
      <c r="AC7" s="43"/>
      <c r="AD7" s="43">
        <v>1</v>
      </c>
      <c r="AE7" s="43"/>
      <c r="AF7" s="43"/>
      <c r="AG7" s="43"/>
      <c r="AH7" s="43">
        <v>1</v>
      </c>
      <c r="AI7" s="43"/>
      <c r="AJ7" s="43"/>
      <c r="AK7" s="98"/>
      <c r="AL7" s="43"/>
      <c r="AM7" s="43"/>
      <c r="AN7" s="43"/>
      <c r="AO7" s="43"/>
      <c r="AP7" s="43"/>
      <c r="AQ7" s="43">
        <v>1</v>
      </c>
      <c r="AR7" s="43"/>
      <c r="AS7" s="43"/>
      <c r="AT7" s="43"/>
      <c r="AU7" s="44"/>
    </row>
    <row r="8" spans="2:47" s="38" customFormat="1" ht="30" customHeight="1" x14ac:dyDescent="0.2">
      <c r="B8" s="78" t="s">
        <v>14</v>
      </c>
      <c r="C8" s="63" t="s">
        <v>65</v>
      </c>
      <c r="D8" s="64"/>
      <c r="E8" s="42">
        <v>7000</v>
      </c>
      <c r="F8" s="18">
        <f t="shared" si="1"/>
        <v>49000</v>
      </c>
      <c r="G8" s="95">
        <f t="shared" si="0"/>
        <v>7</v>
      </c>
      <c r="H8" s="43"/>
      <c r="I8" s="43"/>
      <c r="J8" s="43"/>
      <c r="K8" s="43"/>
      <c r="L8" s="43"/>
      <c r="M8" s="43"/>
      <c r="N8" s="43"/>
      <c r="O8" s="43">
        <v>1</v>
      </c>
      <c r="P8" s="43"/>
      <c r="Q8" s="43"/>
      <c r="R8" s="43"/>
      <c r="S8" s="43"/>
      <c r="T8" s="43">
        <v>1</v>
      </c>
      <c r="U8" s="43"/>
      <c r="V8" s="43">
        <v>1</v>
      </c>
      <c r="W8" s="43"/>
      <c r="X8" s="43"/>
      <c r="Y8" s="43">
        <v>1</v>
      </c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98"/>
      <c r="AL8" s="43"/>
      <c r="AM8" s="43">
        <v>1</v>
      </c>
      <c r="AN8" s="43"/>
      <c r="AO8" s="43">
        <v>1</v>
      </c>
      <c r="AP8" s="43"/>
      <c r="AQ8" s="43"/>
      <c r="AR8" s="43"/>
      <c r="AS8" s="43">
        <v>1</v>
      </c>
      <c r="AT8" s="43"/>
      <c r="AU8" s="44"/>
    </row>
    <row r="9" spans="2:47" s="38" customFormat="1" ht="30" customHeight="1" x14ac:dyDescent="0.2">
      <c r="B9" s="78" t="s">
        <v>15</v>
      </c>
      <c r="C9" s="63" t="s">
        <v>57</v>
      </c>
      <c r="D9" s="64"/>
      <c r="E9" s="42">
        <v>5500</v>
      </c>
      <c r="F9" s="18">
        <f t="shared" si="1"/>
        <v>159500</v>
      </c>
      <c r="G9" s="95">
        <f t="shared" si="0"/>
        <v>29</v>
      </c>
      <c r="H9" s="43">
        <v>1</v>
      </c>
      <c r="I9" s="43">
        <v>1</v>
      </c>
      <c r="J9" s="43">
        <v>2</v>
      </c>
      <c r="K9" s="43">
        <v>1</v>
      </c>
      <c r="L9" s="43"/>
      <c r="M9" s="43"/>
      <c r="N9" s="43">
        <v>2</v>
      </c>
      <c r="O9" s="43">
        <v>1</v>
      </c>
      <c r="P9" s="43"/>
      <c r="Q9" s="43"/>
      <c r="R9" s="43"/>
      <c r="S9" s="43">
        <v>2</v>
      </c>
      <c r="T9" s="43"/>
      <c r="U9" s="43">
        <v>2</v>
      </c>
      <c r="V9" s="43">
        <v>1</v>
      </c>
      <c r="W9" s="43">
        <v>1</v>
      </c>
      <c r="X9" s="43">
        <v>1</v>
      </c>
      <c r="Y9" s="43">
        <v>1</v>
      </c>
      <c r="Z9" s="43"/>
      <c r="AA9" s="43"/>
      <c r="AB9" s="43">
        <v>1</v>
      </c>
      <c r="AC9" s="43"/>
      <c r="AD9" s="43"/>
      <c r="AE9" s="43">
        <v>2</v>
      </c>
      <c r="AF9" s="43">
        <v>1</v>
      </c>
      <c r="AG9" s="43">
        <v>1</v>
      </c>
      <c r="AH9" s="43"/>
      <c r="AI9" s="43"/>
      <c r="AJ9" s="43">
        <v>2</v>
      </c>
      <c r="AK9" s="98">
        <v>2</v>
      </c>
      <c r="AL9" s="43"/>
      <c r="AM9" s="43">
        <v>1</v>
      </c>
      <c r="AN9" s="43"/>
      <c r="AO9" s="43"/>
      <c r="AP9" s="43"/>
      <c r="AQ9" s="43">
        <v>1</v>
      </c>
      <c r="AR9" s="43">
        <v>2</v>
      </c>
      <c r="AS9" s="43"/>
      <c r="AT9" s="43"/>
      <c r="AU9" s="44"/>
    </row>
    <row r="10" spans="2:47" s="38" customFormat="1" ht="30" customHeight="1" x14ac:dyDescent="0.2">
      <c r="B10" s="78" t="s">
        <v>16</v>
      </c>
      <c r="C10" s="63" t="s">
        <v>58</v>
      </c>
      <c r="D10" s="64" t="s">
        <v>69</v>
      </c>
      <c r="E10" s="42">
        <v>4000</v>
      </c>
      <c r="F10" s="18">
        <f t="shared" si="1"/>
        <v>4000</v>
      </c>
      <c r="G10" s="95">
        <f t="shared" si="0"/>
        <v>1</v>
      </c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>
        <v>1</v>
      </c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98"/>
      <c r="AL10" s="43"/>
      <c r="AM10" s="43"/>
      <c r="AN10" s="43"/>
      <c r="AO10" s="43"/>
      <c r="AP10" s="43"/>
      <c r="AQ10" s="43"/>
      <c r="AR10" s="43"/>
      <c r="AS10" s="43"/>
      <c r="AT10" s="43"/>
      <c r="AU10" s="44"/>
    </row>
    <row r="11" spans="2:47" s="38" customFormat="1" ht="30" customHeight="1" x14ac:dyDescent="0.2">
      <c r="B11" s="78" t="s">
        <v>17</v>
      </c>
      <c r="C11" s="63" t="s">
        <v>59</v>
      </c>
      <c r="D11" s="64"/>
      <c r="E11" s="42">
        <v>4000</v>
      </c>
      <c r="F11" s="18">
        <f t="shared" si="1"/>
        <v>12000</v>
      </c>
      <c r="G11" s="95">
        <f t="shared" si="0"/>
        <v>3</v>
      </c>
      <c r="H11" s="43"/>
      <c r="I11" s="43"/>
      <c r="J11" s="43"/>
      <c r="K11" s="43">
        <v>1</v>
      </c>
      <c r="L11" s="43"/>
      <c r="M11" s="43"/>
      <c r="N11" s="43"/>
      <c r="O11" s="43"/>
      <c r="P11" s="43"/>
      <c r="Q11" s="43"/>
      <c r="R11" s="43">
        <v>1</v>
      </c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98"/>
      <c r="AL11" s="43">
        <v>1</v>
      </c>
      <c r="AM11" s="43"/>
      <c r="AN11" s="43"/>
      <c r="AO11" s="43"/>
      <c r="AP11" s="43"/>
      <c r="AQ11" s="43"/>
      <c r="AR11" s="43"/>
      <c r="AS11" s="43"/>
      <c r="AT11" s="43"/>
      <c r="AU11" s="44"/>
    </row>
    <row r="12" spans="2:47" s="38" customFormat="1" ht="30" customHeight="1" x14ac:dyDescent="0.2">
      <c r="B12" s="78" t="s">
        <v>18</v>
      </c>
      <c r="C12" s="63" t="s">
        <v>60</v>
      </c>
      <c r="D12" s="64"/>
      <c r="E12" s="42">
        <v>4000</v>
      </c>
      <c r="F12" s="18">
        <f t="shared" si="1"/>
        <v>12000</v>
      </c>
      <c r="G12" s="95">
        <f t="shared" si="0"/>
        <v>3</v>
      </c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>
        <v>1</v>
      </c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98"/>
      <c r="AL12" s="43"/>
      <c r="AM12" s="43"/>
      <c r="AN12" s="43">
        <v>1</v>
      </c>
      <c r="AO12" s="43"/>
      <c r="AP12" s="43"/>
      <c r="AQ12" s="43"/>
      <c r="AR12" s="43">
        <v>1</v>
      </c>
      <c r="AS12" s="43"/>
      <c r="AT12" s="43"/>
      <c r="AU12" s="44"/>
    </row>
    <row r="13" spans="2:47" s="38" customFormat="1" ht="30" customHeight="1" x14ac:dyDescent="0.2">
      <c r="B13" s="78" t="s">
        <v>19</v>
      </c>
      <c r="C13" s="63" t="s">
        <v>59</v>
      </c>
      <c r="D13" s="64"/>
      <c r="E13" s="42">
        <v>5000</v>
      </c>
      <c r="F13" s="18">
        <f t="shared" si="1"/>
        <v>10000</v>
      </c>
      <c r="G13" s="95">
        <f t="shared" si="0"/>
        <v>2</v>
      </c>
      <c r="H13" s="45">
        <v>1</v>
      </c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>
        <v>1</v>
      </c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99"/>
      <c r="AL13" s="43"/>
      <c r="AM13" s="43"/>
      <c r="AN13" s="43"/>
      <c r="AO13" s="43"/>
      <c r="AP13" s="43"/>
      <c r="AQ13" s="43"/>
      <c r="AR13" s="43"/>
      <c r="AS13" s="43"/>
      <c r="AT13" s="43"/>
      <c r="AU13" s="44"/>
    </row>
    <row r="14" spans="2:47" s="38" customFormat="1" ht="30" customHeight="1" x14ac:dyDescent="0.2">
      <c r="B14" s="78" t="s">
        <v>20</v>
      </c>
      <c r="C14" s="63" t="s">
        <v>53</v>
      </c>
      <c r="D14" s="64"/>
      <c r="E14" s="42">
        <v>7000</v>
      </c>
      <c r="F14" s="18">
        <f t="shared" si="1"/>
        <v>7000</v>
      </c>
      <c r="G14" s="95">
        <f t="shared" si="0"/>
        <v>1</v>
      </c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>
        <v>1</v>
      </c>
      <c r="AB14" s="43"/>
      <c r="AC14" s="43"/>
      <c r="AD14" s="43"/>
      <c r="AE14" s="43"/>
      <c r="AF14" s="43"/>
      <c r="AG14" s="43"/>
      <c r="AH14" s="43"/>
      <c r="AI14" s="43"/>
      <c r="AJ14" s="43"/>
      <c r="AK14" s="98"/>
      <c r="AL14" s="43"/>
      <c r="AM14" s="43"/>
      <c r="AN14" s="43"/>
      <c r="AO14" s="43"/>
      <c r="AP14" s="43"/>
      <c r="AQ14" s="43"/>
      <c r="AR14" s="43"/>
      <c r="AS14" s="43"/>
      <c r="AT14" s="43"/>
      <c r="AU14" s="44"/>
    </row>
    <row r="15" spans="2:47" s="38" customFormat="1" ht="30" customHeight="1" x14ac:dyDescent="0.2">
      <c r="B15" s="78" t="s">
        <v>21</v>
      </c>
      <c r="C15" s="63" t="s">
        <v>66</v>
      </c>
      <c r="D15" s="64"/>
      <c r="E15" s="42">
        <v>7000</v>
      </c>
      <c r="F15" s="18">
        <f t="shared" si="1"/>
        <v>14000</v>
      </c>
      <c r="G15" s="95">
        <f t="shared" si="0"/>
        <v>2</v>
      </c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>
        <v>1</v>
      </c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98"/>
      <c r="AL15" s="43"/>
      <c r="AM15" s="43"/>
      <c r="AN15" s="43">
        <v>1</v>
      </c>
      <c r="AO15" s="43"/>
      <c r="AP15" s="43"/>
      <c r="AQ15" s="43"/>
      <c r="AR15" s="43"/>
      <c r="AS15" s="43"/>
      <c r="AT15" s="43"/>
      <c r="AU15" s="44"/>
    </row>
    <row r="16" spans="2:47" s="38" customFormat="1" ht="30" customHeight="1" x14ac:dyDescent="0.2">
      <c r="B16" s="78" t="s">
        <v>22</v>
      </c>
      <c r="C16" s="63"/>
      <c r="D16" s="64"/>
      <c r="E16" s="42">
        <v>7000</v>
      </c>
      <c r="F16" s="18">
        <f t="shared" si="1"/>
        <v>0</v>
      </c>
      <c r="G16" s="95">
        <f t="shared" si="0"/>
        <v>0</v>
      </c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98"/>
      <c r="AL16" s="43"/>
      <c r="AM16" s="43"/>
      <c r="AN16" s="43"/>
      <c r="AO16" s="43"/>
      <c r="AP16" s="43"/>
      <c r="AQ16" s="43"/>
      <c r="AR16" s="43"/>
      <c r="AS16" s="43"/>
      <c r="AT16" s="43"/>
      <c r="AU16" s="44"/>
    </row>
    <row r="17" spans="2:47" s="38" customFormat="1" ht="30" customHeight="1" x14ac:dyDescent="0.2">
      <c r="B17" s="78" t="s">
        <v>23</v>
      </c>
      <c r="C17" s="63"/>
      <c r="D17" s="64"/>
      <c r="E17" s="42">
        <v>7000</v>
      </c>
      <c r="F17" s="18">
        <f t="shared" si="1"/>
        <v>0</v>
      </c>
      <c r="G17" s="95">
        <f t="shared" si="0"/>
        <v>0</v>
      </c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98"/>
      <c r="AL17" s="43"/>
      <c r="AM17" s="43"/>
      <c r="AN17" s="43"/>
      <c r="AO17" s="43"/>
      <c r="AP17" s="43"/>
      <c r="AQ17" s="43"/>
      <c r="AR17" s="43"/>
      <c r="AS17" s="43"/>
      <c r="AT17" s="43"/>
      <c r="AU17" s="44"/>
    </row>
    <row r="18" spans="2:47" s="38" customFormat="1" ht="30" customHeight="1" x14ac:dyDescent="0.2">
      <c r="B18" s="78" t="s">
        <v>24</v>
      </c>
      <c r="C18" s="63"/>
      <c r="D18" s="64"/>
      <c r="E18" s="42">
        <v>7000</v>
      </c>
      <c r="F18" s="18">
        <f t="shared" si="1"/>
        <v>0</v>
      </c>
      <c r="G18" s="95">
        <f t="shared" si="0"/>
        <v>0</v>
      </c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99"/>
      <c r="AL18" s="43"/>
      <c r="AM18" s="43"/>
      <c r="AN18" s="43"/>
      <c r="AO18" s="43"/>
      <c r="AP18" s="43"/>
      <c r="AQ18" s="43"/>
      <c r="AR18" s="43"/>
      <c r="AS18" s="43"/>
      <c r="AT18" s="43"/>
      <c r="AU18" s="44"/>
    </row>
    <row r="19" spans="2:47" s="38" customFormat="1" ht="30" customHeight="1" x14ac:dyDescent="0.2">
      <c r="B19" s="79" t="s">
        <v>25</v>
      </c>
      <c r="C19" s="65"/>
      <c r="D19" s="9"/>
      <c r="E19" s="61">
        <v>7000</v>
      </c>
      <c r="F19" s="50">
        <f t="shared" si="1"/>
        <v>0</v>
      </c>
      <c r="G19" s="95">
        <f t="shared" si="0"/>
        <v>0</v>
      </c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98"/>
      <c r="AL19" s="45"/>
      <c r="AM19" s="45"/>
      <c r="AN19" s="45"/>
      <c r="AO19" s="45"/>
      <c r="AP19" s="45"/>
      <c r="AQ19" s="45"/>
      <c r="AR19" s="45"/>
      <c r="AS19" s="45"/>
      <c r="AT19" s="45"/>
      <c r="AU19" s="60"/>
    </row>
    <row r="20" spans="2:47" s="38" customFormat="1" ht="20.100000000000001" customHeight="1" x14ac:dyDescent="0.2">
      <c r="B20" s="139" t="s">
        <v>8</v>
      </c>
      <c r="C20" s="140"/>
      <c r="D20" s="144"/>
      <c r="E20" s="146">
        <f>SUM(E6:E8,E10:E15)+E9*2</f>
        <v>61500</v>
      </c>
      <c r="F20" s="125">
        <f t="shared" ref="F20:X20" si="2">SUM(F6:F19)</f>
        <v>373000</v>
      </c>
      <c r="G20" s="125">
        <f t="shared" si="2"/>
        <v>65</v>
      </c>
      <c r="H20" s="23">
        <f t="shared" si="2"/>
        <v>2</v>
      </c>
      <c r="I20" s="23">
        <f t="shared" si="2"/>
        <v>1</v>
      </c>
      <c r="J20" s="23">
        <f t="shared" si="2"/>
        <v>2</v>
      </c>
      <c r="K20" s="23">
        <f t="shared" si="2"/>
        <v>3</v>
      </c>
      <c r="L20" s="23">
        <f t="shared" si="2"/>
        <v>1</v>
      </c>
      <c r="M20" s="23">
        <f t="shared" si="2"/>
        <v>1</v>
      </c>
      <c r="N20" s="23">
        <f t="shared" si="2"/>
        <v>2</v>
      </c>
      <c r="O20" s="23">
        <f t="shared" si="2"/>
        <v>4</v>
      </c>
      <c r="P20" s="23">
        <f t="shared" si="2"/>
        <v>1</v>
      </c>
      <c r="Q20" s="23">
        <f t="shared" si="2"/>
        <v>1</v>
      </c>
      <c r="R20" s="23">
        <f t="shared" si="2"/>
        <v>1</v>
      </c>
      <c r="S20" s="23">
        <f t="shared" si="2"/>
        <v>4</v>
      </c>
      <c r="T20" s="23">
        <f t="shared" si="2"/>
        <v>2</v>
      </c>
      <c r="U20" s="23">
        <f t="shared" si="2"/>
        <v>2</v>
      </c>
      <c r="V20" s="23">
        <f t="shared" si="2"/>
        <v>4</v>
      </c>
      <c r="W20" s="23">
        <f t="shared" si="2"/>
        <v>1</v>
      </c>
      <c r="X20" s="23">
        <f t="shared" si="2"/>
        <v>1</v>
      </c>
      <c r="Y20" s="23">
        <f t="shared" ref="Y20:AH20" si="3">SUM(Y6:Y19)</f>
        <v>4</v>
      </c>
      <c r="Z20" s="23">
        <f t="shared" si="3"/>
        <v>1</v>
      </c>
      <c r="AA20" s="23">
        <f t="shared" si="3"/>
        <v>1</v>
      </c>
      <c r="AB20" s="23">
        <f t="shared" si="3"/>
        <v>1</v>
      </c>
      <c r="AC20" s="23">
        <f t="shared" si="3"/>
        <v>1</v>
      </c>
      <c r="AD20" s="23">
        <f t="shared" si="3"/>
        <v>1</v>
      </c>
      <c r="AE20" s="23">
        <f t="shared" si="3"/>
        <v>2</v>
      </c>
      <c r="AF20" s="23">
        <f t="shared" si="3"/>
        <v>1</v>
      </c>
      <c r="AG20" s="23">
        <f t="shared" si="3"/>
        <v>1</v>
      </c>
      <c r="AH20" s="23">
        <f t="shared" si="3"/>
        <v>1</v>
      </c>
      <c r="AI20" s="23">
        <f>SUM(AI6:AI19)</f>
        <v>1</v>
      </c>
      <c r="AJ20" s="23">
        <f>SUM(AJ6:AJ19)</f>
        <v>2</v>
      </c>
      <c r="AK20" s="100">
        <f>SUM(AK6:AK19)</f>
        <v>2</v>
      </c>
      <c r="AL20" s="101">
        <f>SUM(AL6:AL19)</f>
        <v>1</v>
      </c>
      <c r="AM20" s="101">
        <f t="shared" ref="AM20:AU20" si="4">SUM(AM6:AM19)</f>
        <v>2</v>
      </c>
      <c r="AN20" s="101">
        <f t="shared" si="4"/>
        <v>2</v>
      </c>
      <c r="AO20" s="101">
        <f t="shared" si="4"/>
        <v>1</v>
      </c>
      <c r="AP20" s="101">
        <f t="shared" si="4"/>
        <v>1</v>
      </c>
      <c r="AQ20" s="101">
        <f t="shared" si="4"/>
        <v>2</v>
      </c>
      <c r="AR20" s="101">
        <f t="shared" si="4"/>
        <v>3</v>
      </c>
      <c r="AS20" s="101">
        <f t="shared" si="4"/>
        <v>1</v>
      </c>
      <c r="AT20" s="101">
        <f t="shared" si="4"/>
        <v>0</v>
      </c>
      <c r="AU20" s="102">
        <f t="shared" si="4"/>
        <v>0</v>
      </c>
    </row>
    <row r="21" spans="2:47" s="38" customFormat="1" ht="20.100000000000001" customHeight="1" x14ac:dyDescent="0.2">
      <c r="B21" s="141"/>
      <c r="C21" s="142"/>
      <c r="D21" s="145"/>
      <c r="E21" s="147"/>
      <c r="F21" s="126"/>
      <c r="G21" s="126"/>
      <c r="H21" s="46">
        <f>$E6*H6+$E7*H7+$E8*H8+$E9*H9+$E10*H10+$E11*H11+$E12*H12+$E14*H14+$E15*H15+$E16*H16+$E17*H17+$E18*H18+$E19*H19+$E13*H13</f>
        <v>10500</v>
      </c>
      <c r="I21" s="28">
        <f t="shared" ref="I21:AK21" si="5">$E6*I6+$E7*I7+$E8*I8+$E9*I9+$E10*I10+$E11*I11+$E12*I12+$E14*I14+$E15*I15+$E16*I16+$E17*I17+$E18*I18+$E19*I19+$E13*I13</f>
        <v>5500</v>
      </c>
      <c r="J21" s="28">
        <f t="shared" si="5"/>
        <v>11000</v>
      </c>
      <c r="K21" s="28">
        <f t="shared" si="5"/>
        <v>16000</v>
      </c>
      <c r="L21" s="28">
        <f t="shared" si="5"/>
        <v>6000</v>
      </c>
      <c r="M21" s="28">
        <f t="shared" si="5"/>
        <v>6000</v>
      </c>
      <c r="N21" s="28">
        <f t="shared" si="5"/>
        <v>11000</v>
      </c>
      <c r="O21" s="28">
        <f t="shared" si="5"/>
        <v>25000</v>
      </c>
      <c r="P21" s="28">
        <f t="shared" si="5"/>
        <v>6000</v>
      </c>
      <c r="Q21" s="28">
        <f t="shared" si="5"/>
        <v>6000</v>
      </c>
      <c r="R21" s="28">
        <f t="shared" si="5"/>
        <v>4000</v>
      </c>
      <c r="S21" s="28">
        <f t="shared" si="5"/>
        <v>23000</v>
      </c>
      <c r="T21" s="28">
        <f t="shared" si="5"/>
        <v>13000</v>
      </c>
      <c r="U21" s="28">
        <f t="shared" si="5"/>
        <v>11000</v>
      </c>
      <c r="V21" s="28">
        <f t="shared" si="5"/>
        <v>25000</v>
      </c>
      <c r="W21" s="28">
        <f t="shared" si="5"/>
        <v>5500</v>
      </c>
      <c r="X21" s="28">
        <f t="shared" si="5"/>
        <v>5500</v>
      </c>
      <c r="Y21" s="28">
        <f t="shared" si="5"/>
        <v>20500</v>
      </c>
      <c r="Z21" s="28">
        <f t="shared" si="5"/>
        <v>6500</v>
      </c>
      <c r="AA21" s="28">
        <f t="shared" si="5"/>
        <v>7000</v>
      </c>
      <c r="AB21" s="28">
        <f t="shared" si="5"/>
        <v>5500</v>
      </c>
      <c r="AC21" s="28">
        <f t="shared" si="5"/>
        <v>6000</v>
      </c>
      <c r="AD21" s="28">
        <f t="shared" si="5"/>
        <v>6500</v>
      </c>
      <c r="AE21" s="28">
        <f t="shared" si="5"/>
        <v>11000</v>
      </c>
      <c r="AF21" s="28">
        <f t="shared" si="5"/>
        <v>5500</v>
      </c>
      <c r="AG21" s="28">
        <f t="shared" si="5"/>
        <v>5500</v>
      </c>
      <c r="AH21" s="28">
        <f t="shared" si="5"/>
        <v>6500</v>
      </c>
      <c r="AI21" s="28">
        <f t="shared" si="5"/>
        <v>6000</v>
      </c>
      <c r="AJ21" s="28">
        <f t="shared" si="5"/>
        <v>11000</v>
      </c>
      <c r="AK21" s="74">
        <f t="shared" si="5"/>
        <v>11000</v>
      </c>
      <c r="AL21" s="28">
        <f>$E6*AL6+$E7*AL7+$E8*AL8+$E9*AL9+$E10*AL10+$E11*AL11+$E12*AL12+$E14*AL14+$E15*AL15+$E16*AL16+$E17*AL17+$E18*AL18+$E19*AL19+$E13*AL13</f>
        <v>4000</v>
      </c>
      <c r="AM21" s="28">
        <f>$E6*AM6+$E7*AM7+$E8*AM8+$E9*AM9+$E10*AM10+$E11*AM11+$E12*AM12+$E14*AM14+$E15*AM15+$E16*AM16+$E17*AM17+$E18*AM18+$E19*AM19+$E13*AM13</f>
        <v>12500</v>
      </c>
      <c r="AN21" s="28">
        <f>$E6*AN6+$E7*AN7+$E8*AN8+$E9*AN9+$E10*AN10+$E11*AN11+$E12*AN12+$E14*AN14+$E15*AN15+$E16*AN16+$E17*AN17+$E18*AN18+$E19*AN19+$E13*AN13</f>
        <v>11000</v>
      </c>
      <c r="AO21" s="28">
        <f t="shared" ref="AO21:AU21" si="6">$E6*AO6+$E7*AO7+$E8*AO8+$E9*AO9+$E10*AO10+$E11*AO11+$E12*AO12+$E14*AO14+$E15*AO15+$E16*AO16+$E17*AO17+$E18*AO18+$E19*AO19+$E13*AO13</f>
        <v>7000</v>
      </c>
      <c r="AP21" s="28">
        <f t="shared" si="6"/>
        <v>6000</v>
      </c>
      <c r="AQ21" s="28">
        <f t="shared" si="6"/>
        <v>12000</v>
      </c>
      <c r="AR21" s="28">
        <f t="shared" si="6"/>
        <v>15000</v>
      </c>
      <c r="AS21" s="28">
        <f t="shared" si="6"/>
        <v>7000</v>
      </c>
      <c r="AT21" s="28">
        <f t="shared" si="6"/>
        <v>0</v>
      </c>
      <c r="AU21" s="29">
        <f t="shared" si="6"/>
        <v>0</v>
      </c>
    </row>
  </sheetData>
  <sheetProtection password="CC67" sheet="1" objects="1" scenarios="1"/>
  <mergeCells count="10">
    <mergeCell ref="B20:D21"/>
    <mergeCell ref="E20:E21"/>
    <mergeCell ref="F20:F21"/>
    <mergeCell ref="G20:G21"/>
    <mergeCell ref="B2:G2"/>
    <mergeCell ref="B4:B5"/>
    <mergeCell ref="C4:C5"/>
    <mergeCell ref="D4:D5"/>
    <mergeCell ref="E4:E5"/>
    <mergeCell ref="F4:F5"/>
  </mergeCells>
  <phoneticPr fontId="2" type="noConversion"/>
  <pageMargins left="0.7" right="0.7" top="0.75" bottom="0.75" header="0.3" footer="0.3"/>
  <pageSetup paperSize="9" scale="31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B1:AU21"/>
  <sheetViews>
    <sheetView showGridLines="0" zoomScale="85" zoomScaleNormal="85" workbookViewId="0">
      <pane xSplit="7" ySplit="5" topLeftCell="AC6" activePane="bottomRight" state="frozen"/>
      <selection pane="topRight" activeCell="G1" sqref="G1"/>
      <selection pane="bottomLeft" activeCell="A6" sqref="A6"/>
      <selection pane="bottomRight" activeCell="D18" sqref="D18"/>
    </sheetView>
  </sheetViews>
  <sheetFormatPr defaultColWidth="9.125" defaultRowHeight="14.25" x14ac:dyDescent="0.2"/>
  <cols>
    <col min="1" max="1" width="0.375" style="1" customWidth="1"/>
    <col min="2" max="2" width="16.875" style="1" bestFit="1" customWidth="1"/>
    <col min="3" max="4" width="13.625" style="1" customWidth="1"/>
    <col min="5" max="5" width="10.625" style="1" hidden="1" customWidth="1"/>
    <col min="6" max="6" width="10.625" style="1" customWidth="1"/>
    <col min="7" max="7" width="10.625" style="3" customWidth="1"/>
    <col min="8" max="22" width="10.625" style="4" customWidth="1"/>
    <col min="23" max="47" width="10.625" style="1" customWidth="1"/>
    <col min="48" max="16384" width="9.125" style="1"/>
  </cols>
  <sheetData>
    <row r="1" spans="2:47" ht="3.75" customHeight="1" x14ac:dyDescent="0.2"/>
    <row r="2" spans="2:47" ht="20.25" x14ac:dyDescent="0.2">
      <c r="B2" s="149" t="s">
        <v>26</v>
      </c>
      <c r="C2" s="149"/>
      <c r="D2" s="149"/>
      <c r="E2" s="149"/>
      <c r="F2" s="149"/>
      <c r="G2" s="149"/>
    </row>
    <row r="3" spans="2:47" ht="4.9000000000000004" customHeight="1" x14ac:dyDescent="0.2"/>
    <row r="4" spans="2:47" s="38" customFormat="1" ht="20.100000000000001" customHeight="1" x14ac:dyDescent="0.2">
      <c r="B4" s="150" t="s">
        <v>3</v>
      </c>
      <c r="C4" s="123" t="s">
        <v>45</v>
      </c>
      <c r="D4" s="153" t="s">
        <v>46</v>
      </c>
      <c r="E4" s="135" t="s">
        <v>4</v>
      </c>
      <c r="F4" s="129" t="s">
        <v>5</v>
      </c>
      <c r="G4" s="32" t="s">
        <v>0</v>
      </c>
      <c r="H4" s="33">
        <v>1</v>
      </c>
      <c r="I4" s="34">
        <v>2</v>
      </c>
      <c r="J4" s="34">
        <v>3</v>
      </c>
      <c r="K4" s="34">
        <v>4</v>
      </c>
      <c r="L4" s="34">
        <v>5</v>
      </c>
      <c r="M4" s="34">
        <v>6</v>
      </c>
      <c r="N4" s="34">
        <v>7</v>
      </c>
      <c r="O4" s="34">
        <v>8</v>
      </c>
      <c r="P4" s="34">
        <v>9</v>
      </c>
      <c r="Q4" s="34">
        <v>10</v>
      </c>
      <c r="R4" s="34">
        <v>11</v>
      </c>
      <c r="S4" s="34">
        <v>12</v>
      </c>
      <c r="T4" s="34">
        <v>13</v>
      </c>
      <c r="U4" s="34">
        <v>14</v>
      </c>
      <c r="V4" s="34">
        <v>15</v>
      </c>
      <c r="W4" s="34">
        <v>16</v>
      </c>
      <c r="X4" s="34">
        <v>17</v>
      </c>
      <c r="Y4" s="33">
        <v>18</v>
      </c>
      <c r="Z4" s="34">
        <v>19</v>
      </c>
      <c r="AA4" s="34">
        <v>20</v>
      </c>
      <c r="AB4" s="34">
        <v>21</v>
      </c>
      <c r="AC4" s="34">
        <v>22</v>
      </c>
      <c r="AD4" s="34">
        <v>23</v>
      </c>
      <c r="AE4" s="34">
        <v>24</v>
      </c>
      <c r="AF4" s="34">
        <v>25</v>
      </c>
      <c r="AG4" s="34">
        <v>26</v>
      </c>
      <c r="AH4" s="34">
        <v>27</v>
      </c>
      <c r="AI4" s="34">
        <v>28</v>
      </c>
      <c r="AJ4" s="34">
        <v>29</v>
      </c>
      <c r="AK4" s="96">
        <v>30</v>
      </c>
      <c r="AL4" s="34">
        <v>31</v>
      </c>
      <c r="AM4" s="34">
        <v>32</v>
      </c>
      <c r="AN4" s="34">
        <v>33</v>
      </c>
      <c r="AO4" s="34">
        <v>34</v>
      </c>
      <c r="AP4" s="34">
        <v>35</v>
      </c>
      <c r="AQ4" s="34">
        <v>36</v>
      </c>
      <c r="AR4" s="34">
        <v>37</v>
      </c>
      <c r="AS4" s="34">
        <v>38</v>
      </c>
      <c r="AT4" s="34">
        <v>39</v>
      </c>
      <c r="AU4" s="35">
        <v>40</v>
      </c>
    </row>
    <row r="5" spans="2:47" s="38" customFormat="1" ht="20.100000000000001" customHeight="1" x14ac:dyDescent="0.2">
      <c r="B5" s="151"/>
      <c r="C5" s="152"/>
      <c r="D5" s="154"/>
      <c r="E5" s="136"/>
      <c r="F5" s="130"/>
      <c r="G5" s="36" t="s">
        <v>1</v>
      </c>
      <c r="H5" s="37">
        <v>1214</v>
      </c>
      <c r="I5" s="37">
        <v>819</v>
      </c>
      <c r="J5" s="37">
        <v>1514</v>
      </c>
      <c r="K5" s="37">
        <v>1118</v>
      </c>
      <c r="L5" s="37">
        <v>820</v>
      </c>
      <c r="M5" s="37">
        <v>1503</v>
      </c>
      <c r="N5" s="37">
        <v>506</v>
      </c>
      <c r="O5" s="37">
        <v>1403</v>
      </c>
      <c r="P5" s="37">
        <v>827</v>
      </c>
      <c r="Q5" s="37">
        <v>1022</v>
      </c>
      <c r="R5" s="37">
        <v>1123</v>
      </c>
      <c r="S5" s="37">
        <v>711</v>
      </c>
      <c r="T5" s="37">
        <v>1606</v>
      </c>
      <c r="U5" s="37">
        <v>1203</v>
      </c>
      <c r="V5" s="37">
        <v>826</v>
      </c>
      <c r="W5" s="37">
        <v>711</v>
      </c>
      <c r="X5" s="37">
        <v>1501</v>
      </c>
      <c r="Y5" s="37">
        <v>1723</v>
      </c>
      <c r="Z5" s="37">
        <v>1626</v>
      </c>
      <c r="AA5" s="37">
        <v>1428</v>
      </c>
      <c r="AB5" s="37">
        <v>723</v>
      </c>
      <c r="AC5" s="37">
        <v>1231</v>
      </c>
      <c r="AD5" s="37">
        <v>817</v>
      </c>
      <c r="AE5" s="37">
        <v>927</v>
      </c>
      <c r="AF5" s="37">
        <v>1630</v>
      </c>
      <c r="AG5" s="37">
        <v>722</v>
      </c>
      <c r="AH5" s="37">
        <v>706</v>
      </c>
      <c r="AI5" s="37">
        <v>1019</v>
      </c>
      <c r="AJ5" s="37">
        <v>1214</v>
      </c>
      <c r="AK5" s="94">
        <v>608</v>
      </c>
      <c r="AL5" s="7">
        <v>1629</v>
      </c>
      <c r="AM5" s="7">
        <v>1228</v>
      </c>
      <c r="AN5" s="7">
        <v>712</v>
      </c>
      <c r="AO5" s="7">
        <v>625</v>
      </c>
      <c r="AP5" s="7">
        <v>928</v>
      </c>
      <c r="AQ5" s="7">
        <v>1416</v>
      </c>
      <c r="AR5" s="7">
        <v>1527</v>
      </c>
      <c r="AS5" s="7">
        <v>1018</v>
      </c>
      <c r="AT5" s="7">
        <v>529</v>
      </c>
      <c r="AU5" s="9">
        <v>1224</v>
      </c>
    </row>
    <row r="6" spans="2:47" s="38" customFormat="1" ht="30" customHeight="1" x14ac:dyDescent="0.2">
      <c r="B6" s="77" t="s">
        <v>12</v>
      </c>
      <c r="C6" s="62" t="s">
        <v>67</v>
      </c>
      <c r="D6" s="35"/>
      <c r="E6" s="39">
        <v>6000</v>
      </c>
      <c r="F6" s="12">
        <f>E6*G6</f>
        <v>60000</v>
      </c>
      <c r="G6" s="95">
        <f t="shared" ref="G6:G19" si="0">SUM(H6:AU6)</f>
        <v>10</v>
      </c>
      <c r="H6" s="40"/>
      <c r="I6" s="40"/>
      <c r="J6" s="40"/>
      <c r="K6" s="40"/>
      <c r="L6" s="40"/>
      <c r="M6" s="40"/>
      <c r="N6" s="40"/>
      <c r="O6" s="40">
        <v>1</v>
      </c>
      <c r="P6" s="40"/>
      <c r="Q6" s="40">
        <v>1</v>
      </c>
      <c r="R6" s="40">
        <v>1</v>
      </c>
      <c r="S6" s="40"/>
      <c r="T6" s="40">
        <v>1</v>
      </c>
      <c r="U6" s="40"/>
      <c r="V6" s="40">
        <v>1</v>
      </c>
      <c r="W6" s="40">
        <v>1</v>
      </c>
      <c r="X6" s="40">
        <v>1</v>
      </c>
      <c r="Y6" s="40"/>
      <c r="Z6" s="40"/>
      <c r="AA6" s="40"/>
      <c r="AB6" s="40"/>
      <c r="AC6" s="40"/>
      <c r="AD6" s="40"/>
      <c r="AE6" s="40"/>
      <c r="AF6" s="40"/>
      <c r="AG6" s="40"/>
      <c r="AH6" s="40">
        <v>1</v>
      </c>
      <c r="AI6" s="40"/>
      <c r="AJ6" s="40"/>
      <c r="AK6" s="97"/>
      <c r="AL6" s="40"/>
      <c r="AM6" s="40"/>
      <c r="AN6" s="40"/>
      <c r="AO6" s="40"/>
      <c r="AP6" s="40"/>
      <c r="AQ6" s="40"/>
      <c r="AR6" s="40">
        <v>1</v>
      </c>
      <c r="AS6" s="40"/>
      <c r="AT6" s="40"/>
      <c r="AU6" s="41">
        <v>1</v>
      </c>
    </row>
    <row r="7" spans="2:47" s="38" customFormat="1" ht="30" customHeight="1" x14ac:dyDescent="0.2">
      <c r="B7" s="78" t="s">
        <v>13</v>
      </c>
      <c r="C7" s="63" t="s">
        <v>54</v>
      </c>
      <c r="D7" s="64"/>
      <c r="E7" s="42">
        <v>6500</v>
      </c>
      <c r="F7" s="18">
        <f t="shared" ref="F7:F19" si="1">E7*G7</f>
        <v>65000</v>
      </c>
      <c r="G7" s="95">
        <f t="shared" si="0"/>
        <v>10</v>
      </c>
      <c r="H7" s="43"/>
      <c r="I7" s="43"/>
      <c r="J7" s="43"/>
      <c r="K7" s="43"/>
      <c r="L7" s="43"/>
      <c r="M7" s="43"/>
      <c r="N7" s="43"/>
      <c r="O7" s="43"/>
      <c r="P7" s="43"/>
      <c r="Q7" s="43">
        <v>1</v>
      </c>
      <c r="R7" s="43">
        <v>1</v>
      </c>
      <c r="S7" s="43"/>
      <c r="T7" s="43">
        <v>1</v>
      </c>
      <c r="U7" s="43"/>
      <c r="V7" s="43">
        <v>1</v>
      </c>
      <c r="W7" s="43"/>
      <c r="X7" s="43"/>
      <c r="Y7" s="43"/>
      <c r="Z7" s="43"/>
      <c r="AA7" s="43"/>
      <c r="AB7" s="43">
        <v>1</v>
      </c>
      <c r="AC7" s="43"/>
      <c r="AD7" s="43"/>
      <c r="AE7" s="43"/>
      <c r="AF7" s="43"/>
      <c r="AG7" s="43"/>
      <c r="AH7" s="43">
        <v>1</v>
      </c>
      <c r="AI7" s="43"/>
      <c r="AJ7" s="43"/>
      <c r="AK7" s="98">
        <v>1</v>
      </c>
      <c r="AL7" s="43"/>
      <c r="AM7" s="43">
        <v>1</v>
      </c>
      <c r="AN7" s="43"/>
      <c r="AO7" s="43"/>
      <c r="AP7" s="43"/>
      <c r="AQ7" s="43">
        <v>1</v>
      </c>
      <c r="AR7" s="43"/>
      <c r="AS7" s="43"/>
      <c r="AT7" s="43"/>
      <c r="AU7" s="44">
        <v>1</v>
      </c>
    </row>
    <row r="8" spans="2:47" s="38" customFormat="1" ht="30" customHeight="1" x14ac:dyDescent="0.2">
      <c r="B8" s="78" t="s">
        <v>14</v>
      </c>
      <c r="C8" s="63" t="s">
        <v>65</v>
      </c>
      <c r="D8" s="64" t="s">
        <v>70</v>
      </c>
      <c r="E8" s="42">
        <v>7000</v>
      </c>
      <c r="F8" s="18">
        <f t="shared" si="1"/>
        <v>14000</v>
      </c>
      <c r="G8" s="95">
        <f t="shared" si="0"/>
        <v>2</v>
      </c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>
        <v>1</v>
      </c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>
        <v>1</v>
      </c>
      <c r="AJ8" s="43"/>
      <c r="AK8" s="98"/>
      <c r="AL8" s="43"/>
      <c r="AM8" s="43"/>
      <c r="AN8" s="43"/>
      <c r="AO8" s="43"/>
      <c r="AP8" s="43"/>
      <c r="AQ8" s="43"/>
      <c r="AR8" s="43"/>
      <c r="AS8" s="43"/>
      <c r="AT8" s="43"/>
      <c r="AU8" s="44"/>
    </row>
    <row r="9" spans="2:47" s="38" customFormat="1" ht="30" customHeight="1" x14ac:dyDescent="0.2">
      <c r="B9" s="78" t="s">
        <v>15</v>
      </c>
      <c r="C9" s="63" t="s">
        <v>57</v>
      </c>
      <c r="D9" s="64"/>
      <c r="E9" s="42">
        <v>5500</v>
      </c>
      <c r="F9" s="18">
        <f t="shared" si="1"/>
        <v>143000</v>
      </c>
      <c r="G9" s="95">
        <f t="shared" si="0"/>
        <v>26</v>
      </c>
      <c r="H9" s="43">
        <v>2</v>
      </c>
      <c r="I9" s="43"/>
      <c r="J9" s="43">
        <v>1</v>
      </c>
      <c r="K9" s="43"/>
      <c r="L9" s="43"/>
      <c r="M9" s="43"/>
      <c r="N9" s="43">
        <v>2</v>
      </c>
      <c r="O9" s="43"/>
      <c r="P9" s="43">
        <v>1</v>
      </c>
      <c r="Q9" s="43"/>
      <c r="R9" s="43"/>
      <c r="S9" s="43">
        <v>2</v>
      </c>
      <c r="T9" s="43"/>
      <c r="U9" s="43"/>
      <c r="V9" s="43">
        <v>2</v>
      </c>
      <c r="W9" s="43"/>
      <c r="X9" s="43"/>
      <c r="Y9" s="43">
        <v>1</v>
      </c>
      <c r="Z9" s="43">
        <v>1</v>
      </c>
      <c r="AA9" s="43">
        <v>1</v>
      </c>
      <c r="AB9" s="43"/>
      <c r="AC9" s="43">
        <v>2</v>
      </c>
      <c r="AD9" s="43">
        <v>2</v>
      </c>
      <c r="AE9" s="43">
        <v>2</v>
      </c>
      <c r="AF9" s="43"/>
      <c r="AG9" s="43">
        <v>1</v>
      </c>
      <c r="AH9" s="43"/>
      <c r="AI9" s="43"/>
      <c r="AJ9" s="43">
        <v>1</v>
      </c>
      <c r="AK9" s="98"/>
      <c r="AL9" s="43">
        <v>1</v>
      </c>
      <c r="AM9" s="43"/>
      <c r="AN9" s="43"/>
      <c r="AO9" s="43">
        <v>2</v>
      </c>
      <c r="AP9" s="43">
        <v>2</v>
      </c>
      <c r="AQ9" s="43"/>
      <c r="AR9" s="43"/>
      <c r="AS9" s="43"/>
      <c r="AT9" s="43"/>
      <c r="AU9" s="44"/>
    </row>
    <row r="10" spans="2:47" s="38" customFormat="1" ht="30" customHeight="1" x14ac:dyDescent="0.2">
      <c r="B10" s="78" t="s">
        <v>16</v>
      </c>
      <c r="C10" s="63" t="s">
        <v>58</v>
      </c>
      <c r="D10" s="64" t="s">
        <v>69</v>
      </c>
      <c r="E10" s="42">
        <v>4000</v>
      </c>
      <c r="F10" s="18">
        <f t="shared" si="1"/>
        <v>20000</v>
      </c>
      <c r="G10" s="95">
        <f t="shared" si="0"/>
        <v>5</v>
      </c>
      <c r="H10" s="43"/>
      <c r="I10" s="43">
        <v>1</v>
      </c>
      <c r="J10" s="43"/>
      <c r="K10" s="43"/>
      <c r="L10" s="43">
        <v>1</v>
      </c>
      <c r="M10" s="43">
        <v>1</v>
      </c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>
        <v>1</v>
      </c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98"/>
      <c r="AL10" s="43"/>
      <c r="AM10" s="43"/>
      <c r="AN10" s="43"/>
      <c r="AO10" s="43"/>
      <c r="AP10" s="43"/>
      <c r="AQ10" s="43"/>
      <c r="AR10" s="43"/>
      <c r="AS10" s="43">
        <v>1</v>
      </c>
      <c r="AT10" s="43"/>
      <c r="AU10" s="44"/>
    </row>
    <row r="11" spans="2:47" s="38" customFormat="1" ht="30" customHeight="1" x14ac:dyDescent="0.2">
      <c r="B11" s="78" t="s">
        <v>17</v>
      </c>
      <c r="C11" s="63" t="s">
        <v>59</v>
      </c>
      <c r="D11" s="64"/>
      <c r="E11" s="42">
        <v>4000</v>
      </c>
      <c r="F11" s="18">
        <f t="shared" si="1"/>
        <v>32000</v>
      </c>
      <c r="G11" s="95">
        <f t="shared" si="0"/>
        <v>8</v>
      </c>
      <c r="H11" s="43"/>
      <c r="I11" s="43">
        <v>1</v>
      </c>
      <c r="J11" s="43">
        <v>1</v>
      </c>
      <c r="K11" s="43"/>
      <c r="L11" s="43">
        <v>1</v>
      </c>
      <c r="M11" s="43"/>
      <c r="N11" s="43"/>
      <c r="O11" s="43"/>
      <c r="P11" s="43"/>
      <c r="Q11" s="43">
        <v>1</v>
      </c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>
        <v>1</v>
      </c>
      <c r="AF11" s="43"/>
      <c r="AG11" s="43"/>
      <c r="AH11" s="43"/>
      <c r="AI11" s="43"/>
      <c r="AJ11" s="43"/>
      <c r="AK11" s="98"/>
      <c r="AL11" s="43"/>
      <c r="AM11" s="43"/>
      <c r="AN11" s="43">
        <v>1</v>
      </c>
      <c r="AO11" s="43"/>
      <c r="AP11" s="43">
        <v>1</v>
      </c>
      <c r="AQ11" s="43"/>
      <c r="AR11" s="43"/>
      <c r="AS11" s="43"/>
      <c r="AT11" s="43">
        <v>1</v>
      </c>
      <c r="AU11" s="44"/>
    </row>
    <row r="12" spans="2:47" s="38" customFormat="1" ht="30" customHeight="1" x14ac:dyDescent="0.2">
      <c r="B12" s="78" t="s">
        <v>18</v>
      </c>
      <c r="C12" s="63" t="s">
        <v>60</v>
      </c>
      <c r="D12" s="64"/>
      <c r="E12" s="42">
        <v>4000</v>
      </c>
      <c r="F12" s="18">
        <f t="shared" si="1"/>
        <v>8000</v>
      </c>
      <c r="G12" s="95">
        <f t="shared" si="0"/>
        <v>2</v>
      </c>
      <c r="H12" s="43"/>
      <c r="I12" s="43"/>
      <c r="J12" s="43"/>
      <c r="K12" s="43"/>
      <c r="L12" s="43"/>
      <c r="M12" s="43"/>
      <c r="N12" s="43">
        <v>1</v>
      </c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>
        <v>1</v>
      </c>
      <c r="AF12" s="43"/>
      <c r="AG12" s="43"/>
      <c r="AH12" s="43"/>
      <c r="AI12" s="43"/>
      <c r="AJ12" s="43"/>
      <c r="AK12" s="98"/>
      <c r="AL12" s="43"/>
      <c r="AM12" s="43"/>
      <c r="AN12" s="43"/>
      <c r="AO12" s="43"/>
      <c r="AP12" s="43"/>
      <c r="AQ12" s="43"/>
      <c r="AR12" s="43"/>
      <c r="AS12" s="43"/>
      <c r="AT12" s="43"/>
      <c r="AU12" s="44"/>
    </row>
    <row r="13" spans="2:47" s="38" customFormat="1" ht="30" customHeight="1" x14ac:dyDescent="0.2">
      <c r="B13" s="78" t="s">
        <v>19</v>
      </c>
      <c r="C13" s="63" t="s">
        <v>59</v>
      </c>
      <c r="D13" s="64"/>
      <c r="E13" s="42">
        <v>5000</v>
      </c>
      <c r="F13" s="18">
        <f t="shared" si="1"/>
        <v>20000</v>
      </c>
      <c r="G13" s="95">
        <f t="shared" si="0"/>
        <v>4</v>
      </c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>
        <v>1</v>
      </c>
      <c r="AC13" s="45"/>
      <c r="AD13" s="45"/>
      <c r="AE13" s="45">
        <v>1</v>
      </c>
      <c r="AF13" s="45">
        <v>1</v>
      </c>
      <c r="AG13" s="45"/>
      <c r="AH13" s="45"/>
      <c r="AI13" s="45"/>
      <c r="AJ13" s="45"/>
      <c r="AK13" s="99"/>
      <c r="AL13" s="43"/>
      <c r="AM13" s="43"/>
      <c r="AN13" s="43"/>
      <c r="AO13" s="43"/>
      <c r="AP13" s="43"/>
      <c r="AQ13" s="43">
        <v>1</v>
      </c>
      <c r="AR13" s="43"/>
      <c r="AS13" s="43"/>
      <c r="AT13" s="43"/>
      <c r="AU13" s="44"/>
    </row>
    <row r="14" spans="2:47" s="38" customFormat="1" ht="30" customHeight="1" x14ac:dyDescent="0.2">
      <c r="B14" s="78" t="s">
        <v>20</v>
      </c>
      <c r="C14" s="63" t="s">
        <v>53</v>
      </c>
      <c r="D14" s="64" t="s">
        <v>66</v>
      </c>
      <c r="E14" s="42">
        <v>7000</v>
      </c>
      <c r="F14" s="18">
        <f t="shared" si="1"/>
        <v>35000</v>
      </c>
      <c r="G14" s="95">
        <f t="shared" si="0"/>
        <v>5</v>
      </c>
      <c r="H14" s="43"/>
      <c r="I14" s="43"/>
      <c r="J14" s="43"/>
      <c r="K14" s="43"/>
      <c r="L14" s="43"/>
      <c r="M14" s="43">
        <v>1</v>
      </c>
      <c r="N14" s="43">
        <v>1</v>
      </c>
      <c r="O14" s="43">
        <v>1</v>
      </c>
      <c r="P14" s="43"/>
      <c r="Q14" s="43"/>
      <c r="R14" s="43"/>
      <c r="S14" s="43"/>
      <c r="T14" s="43"/>
      <c r="U14" s="43"/>
      <c r="V14" s="43"/>
      <c r="W14" s="43"/>
      <c r="X14" s="43">
        <v>1</v>
      </c>
      <c r="Y14" s="43">
        <v>1</v>
      </c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98"/>
      <c r="AL14" s="43"/>
      <c r="AM14" s="43"/>
      <c r="AN14" s="43"/>
      <c r="AO14" s="43"/>
      <c r="AP14" s="43"/>
      <c r="AQ14" s="43"/>
      <c r="AR14" s="43"/>
      <c r="AS14" s="43"/>
      <c r="AT14" s="43"/>
      <c r="AU14" s="44"/>
    </row>
    <row r="15" spans="2:47" s="38" customFormat="1" ht="30" customHeight="1" x14ac:dyDescent="0.2">
      <c r="B15" s="78" t="s">
        <v>21</v>
      </c>
      <c r="C15" s="63" t="s">
        <v>66</v>
      </c>
      <c r="D15" s="64"/>
      <c r="E15" s="42">
        <v>7000</v>
      </c>
      <c r="F15" s="18">
        <f t="shared" si="1"/>
        <v>49000</v>
      </c>
      <c r="G15" s="95">
        <f t="shared" si="0"/>
        <v>7</v>
      </c>
      <c r="H15" s="43"/>
      <c r="I15" s="43"/>
      <c r="J15" s="43"/>
      <c r="K15" s="43">
        <v>1</v>
      </c>
      <c r="L15" s="43"/>
      <c r="M15" s="43"/>
      <c r="N15" s="43">
        <v>1</v>
      </c>
      <c r="O15" s="43">
        <v>1</v>
      </c>
      <c r="P15" s="43"/>
      <c r="Q15" s="43"/>
      <c r="R15" s="43"/>
      <c r="S15" s="43"/>
      <c r="T15" s="43"/>
      <c r="U15" s="43">
        <v>1</v>
      </c>
      <c r="V15" s="43"/>
      <c r="W15" s="43"/>
      <c r="X15" s="43"/>
      <c r="Y15" s="43">
        <v>1</v>
      </c>
      <c r="Z15" s="43"/>
      <c r="AA15" s="43">
        <v>1</v>
      </c>
      <c r="AB15" s="43"/>
      <c r="AC15" s="43"/>
      <c r="AD15" s="43"/>
      <c r="AE15" s="43"/>
      <c r="AF15" s="43"/>
      <c r="AG15" s="43"/>
      <c r="AH15" s="43"/>
      <c r="AI15" s="43"/>
      <c r="AJ15" s="43"/>
      <c r="AK15" s="98"/>
      <c r="AL15" s="43"/>
      <c r="AM15" s="43"/>
      <c r="AN15" s="43"/>
      <c r="AO15" s="43"/>
      <c r="AP15" s="43"/>
      <c r="AQ15" s="43"/>
      <c r="AR15" s="43"/>
      <c r="AS15" s="43">
        <v>1</v>
      </c>
      <c r="AT15" s="43"/>
      <c r="AU15" s="44"/>
    </row>
    <row r="16" spans="2:47" s="38" customFormat="1" ht="30" customHeight="1" x14ac:dyDescent="0.2">
      <c r="B16" s="78" t="s">
        <v>22</v>
      </c>
      <c r="C16" s="63"/>
      <c r="D16" s="64"/>
      <c r="E16" s="42">
        <v>7000</v>
      </c>
      <c r="F16" s="18">
        <f t="shared" si="1"/>
        <v>0</v>
      </c>
      <c r="G16" s="95">
        <f t="shared" si="0"/>
        <v>0</v>
      </c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98"/>
      <c r="AL16" s="43"/>
      <c r="AM16" s="43"/>
      <c r="AN16" s="43"/>
      <c r="AO16" s="43"/>
      <c r="AP16" s="43"/>
      <c r="AQ16" s="43"/>
      <c r="AR16" s="43"/>
      <c r="AS16" s="43"/>
      <c r="AT16" s="43"/>
      <c r="AU16" s="44"/>
    </row>
    <row r="17" spans="2:47" s="38" customFormat="1" ht="30" customHeight="1" x14ac:dyDescent="0.2">
      <c r="B17" s="78" t="s">
        <v>23</v>
      </c>
      <c r="C17" s="63"/>
      <c r="D17" s="64"/>
      <c r="E17" s="42">
        <v>7000</v>
      </c>
      <c r="F17" s="18">
        <f t="shared" si="1"/>
        <v>0</v>
      </c>
      <c r="G17" s="95">
        <f t="shared" si="0"/>
        <v>0</v>
      </c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98"/>
      <c r="AL17" s="43"/>
      <c r="AM17" s="43"/>
      <c r="AN17" s="43"/>
      <c r="AO17" s="43"/>
      <c r="AP17" s="43"/>
      <c r="AQ17" s="43"/>
      <c r="AR17" s="43"/>
      <c r="AS17" s="43"/>
      <c r="AT17" s="43"/>
      <c r="AU17" s="44"/>
    </row>
    <row r="18" spans="2:47" s="38" customFormat="1" ht="30" customHeight="1" x14ac:dyDescent="0.2">
      <c r="B18" s="78" t="s">
        <v>24</v>
      </c>
      <c r="C18" s="63"/>
      <c r="D18" s="64"/>
      <c r="E18" s="42">
        <v>7000</v>
      </c>
      <c r="F18" s="18">
        <f t="shared" si="1"/>
        <v>0</v>
      </c>
      <c r="G18" s="95">
        <f t="shared" si="0"/>
        <v>0</v>
      </c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99"/>
      <c r="AL18" s="43"/>
      <c r="AM18" s="43"/>
      <c r="AN18" s="43"/>
      <c r="AO18" s="43"/>
      <c r="AP18" s="43"/>
      <c r="AQ18" s="43"/>
      <c r="AR18" s="43"/>
      <c r="AS18" s="43"/>
      <c r="AT18" s="43"/>
      <c r="AU18" s="44"/>
    </row>
    <row r="19" spans="2:47" s="38" customFormat="1" ht="30" customHeight="1" x14ac:dyDescent="0.2">
      <c r="B19" s="79" t="s">
        <v>25</v>
      </c>
      <c r="C19" s="65"/>
      <c r="D19" s="9"/>
      <c r="E19" s="61">
        <v>7000</v>
      </c>
      <c r="F19" s="50">
        <f t="shared" si="1"/>
        <v>0</v>
      </c>
      <c r="G19" s="95">
        <f t="shared" si="0"/>
        <v>0</v>
      </c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98"/>
      <c r="AL19" s="45"/>
      <c r="AM19" s="45"/>
      <c r="AN19" s="45"/>
      <c r="AO19" s="45"/>
      <c r="AP19" s="45"/>
      <c r="AQ19" s="45"/>
      <c r="AR19" s="45"/>
      <c r="AS19" s="45"/>
      <c r="AT19" s="45"/>
      <c r="AU19" s="60"/>
    </row>
    <row r="20" spans="2:47" s="38" customFormat="1" ht="20.100000000000001" customHeight="1" x14ac:dyDescent="0.2">
      <c r="B20" s="139" t="s">
        <v>8</v>
      </c>
      <c r="C20" s="140"/>
      <c r="D20" s="144"/>
      <c r="E20" s="146">
        <f>SUM(E6:E8,E10:E15)+E9*2</f>
        <v>61500</v>
      </c>
      <c r="F20" s="125">
        <f t="shared" ref="F20:X20" si="2">SUM(F6:F19)</f>
        <v>446000</v>
      </c>
      <c r="G20" s="125">
        <f t="shared" si="2"/>
        <v>79</v>
      </c>
      <c r="H20" s="23">
        <f t="shared" si="2"/>
        <v>2</v>
      </c>
      <c r="I20" s="23">
        <f t="shared" si="2"/>
        <v>2</v>
      </c>
      <c r="J20" s="23">
        <f t="shared" si="2"/>
        <v>2</v>
      </c>
      <c r="K20" s="23">
        <f t="shared" si="2"/>
        <v>1</v>
      </c>
      <c r="L20" s="23">
        <f t="shared" si="2"/>
        <v>2</v>
      </c>
      <c r="M20" s="23">
        <f t="shared" si="2"/>
        <v>2</v>
      </c>
      <c r="N20" s="23">
        <f t="shared" si="2"/>
        <v>5</v>
      </c>
      <c r="O20" s="23">
        <f t="shared" si="2"/>
        <v>3</v>
      </c>
      <c r="P20" s="23">
        <f t="shared" si="2"/>
        <v>1</v>
      </c>
      <c r="Q20" s="23">
        <f t="shared" si="2"/>
        <v>3</v>
      </c>
      <c r="R20" s="23">
        <f t="shared" si="2"/>
        <v>2</v>
      </c>
      <c r="S20" s="23">
        <f t="shared" si="2"/>
        <v>2</v>
      </c>
      <c r="T20" s="23">
        <f t="shared" si="2"/>
        <v>3</v>
      </c>
      <c r="U20" s="23">
        <f t="shared" si="2"/>
        <v>1</v>
      </c>
      <c r="V20" s="23">
        <f t="shared" si="2"/>
        <v>4</v>
      </c>
      <c r="W20" s="23">
        <f t="shared" si="2"/>
        <v>1</v>
      </c>
      <c r="X20" s="23">
        <f t="shared" si="2"/>
        <v>3</v>
      </c>
      <c r="Y20" s="23">
        <f t="shared" ref="Y20:AH20" si="3">SUM(Y6:Y19)</f>
        <v>3</v>
      </c>
      <c r="Z20" s="23">
        <f t="shared" si="3"/>
        <v>1</v>
      </c>
      <c r="AA20" s="23">
        <f t="shared" si="3"/>
        <v>2</v>
      </c>
      <c r="AB20" s="23">
        <f t="shared" si="3"/>
        <v>2</v>
      </c>
      <c r="AC20" s="23">
        <f t="shared" si="3"/>
        <v>2</v>
      </c>
      <c r="AD20" s="23">
        <f t="shared" si="3"/>
        <v>2</v>
      </c>
      <c r="AE20" s="23">
        <f t="shared" si="3"/>
        <v>5</v>
      </c>
      <c r="AF20" s="23">
        <f t="shared" si="3"/>
        <v>1</v>
      </c>
      <c r="AG20" s="23">
        <f t="shared" si="3"/>
        <v>1</v>
      </c>
      <c r="AH20" s="23">
        <f t="shared" si="3"/>
        <v>2</v>
      </c>
      <c r="AI20" s="23">
        <f>SUM(AI6:AI19)</f>
        <v>1</v>
      </c>
      <c r="AJ20" s="23">
        <f>SUM(AJ6:AJ19)</f>
        <v>1</v>
      </c>
      <c r="AK20" s="100">
        <f>SUM(AK6:AK19)</f>
        <v>1</v>
      </c>
      <c r="AL20" s="101">
        <f>SUM(AL6:AL19)</f>
        <v>1</v>
      </c>
      <c r="AM20" s="101">
        <f t="shared" ref="AM20:AU20" si="4">SUM(AM6:AM19)</f>
        <v>1</v>
      </c>
      <c r="AN20" s="101">
        <f t="shared" si="4"/>
        <v>1</v>
      </c>
      <c r="AO20" s="101">
        <f t="shared" si="4"/>
        <v>2</v>
      </c>
      <c r="AP20" s="101">
        <f t="shared" si="4"/>
        <v>3</v>
      </c>
      <c r="AQ20" s="101">
        <f t="shared" si="4"/>
        <v>2</v>
      </c>
      <c r="AR20" s="101">
        <f t="shared" si="4"/>
        <v>1</v>
      </c>
      <c r="AS20" s="101">
        <f t="shared" si="4"/>
        <v>2</v>
      </c>
      <c r="AT20" s="101">
        <f t="shared" si="4"/>
        <v>1</v>
      </c>
      <c r="AU20" s="102">
        <f t="shared" si="4"/>
        <v>2</v>
      </c>
    </row>
    <row r="21" spans="2:47" s="38" customFormat="1" ht="20.100000000000001" customHeight="1" x14ac:dyDescent="0.2">
      <c r="B21" s="141"/>
      <c r="C21" s="142"/>
      <c r="D21" s="145"/>
      <c r="E21" s="147"/>
      <c r="F21" s="126"/>
      <c r="G21" s="126"/>
      <c r="H21" s="46">
        <f>$E6*H6+$E7*H7+$E8*H8+$E9*H9+$E10*H10+$E11*H11+$E12*H12+$E14*H14+$E15*H15+$E16*H16+$E17*H17+$E18*H18+$E19*H19+$E13*H13</f>
        <v>11000</v>
      </c>
      <c r="I21" s="28">
        <f t="shared" ref="I21:AK21" si="5">$E6*I6+$E7*I7+$E8*I8+$E9*I9+$E10*I10+$E11*I11+$E12*I12+$E14*I14+$E15*I15+$E16*I16+$E17*I17+$E18*I18+$E19*I19+$E13*I13</f>
        <v>8000</v>
      </c>
      <c r="J21" s="28">
        <f t="shared" si="5"/>
        <v>9500</v>
      </c>
      <c r="K21" s="28">
        <f t="shared" si="5"/>
        <v>7000</v>
      </c>
      <c r="L21" s="28">
        <f t="shared" si="5"/>
        <v>8000</v>
      </c>
      <c r="M21" s="28">
        <f t="shared" si="5"/>
        <v>11000</v>
      </c>
      <c r="N21" s="28">
        <f t="shared" si="5"/>
        <v>29000</v>
      </c>
      <c r="O21" s="28">
        <f t="shared" si="5"/>
        <v>20000</v>
      </c>
      <c r="P21" s="28">
        <f t="shared" si="5"/>
        <v>5500</v>
      </c>
      <c r="Q21" s="28">
        <f t="shared" si="5"/>
        <v>16500</v>
      </c>
      <c r="R21" s="28">
        <f t="shared" si="5"/>
        <v>12500</v>
      </c>
      <c r="S21" s="28">
        <f t="shared" si="5"/>
        <v>11000</v>
      </c>
      <c r="T21" s="28">
        <f t="shared" si="5"/>
        <v>19500</v>
      </c>
      <c r="U21" s="28">
        <f t="shared" si="5"/>
        <v>7000</v>
      </c>
      <c r="V21" s="28">
        <f t="shared" si="5"/>
        <v>23500</v>
      </c>
      <c r="W21" s="28">
        <f t="shared" si="5"/>
        <v>6000</v>
      </c>
      <c r="X21" s="28">
        <f t="shared" si="5"/>
        <v>17000</v>
      </c>
      <c r="Y21" s="28">
        <f t="shared" si="5"/>
        <v>19500</v>
      </c>
      <c r="Z21" s="28">
        <f t="shared" si="5"/>
        <v>5500</v>
      </c>
      <c r="AA21" s="28">
        <f t="shared" si="5"/>
        <v>12500</v>
      </c>
      <c r="AB21" s="28">
        <f t="shared" si="5"/>
        <v>11500</v>
      </c>
      <c r="AC21" s="28">
        <f t="shared" si="5"/>
        <v>11000</v>
      </c>
      <c r="AD21" s="28">
        <f t="shared" si="5"/>
        <v>11000</v>
      </c>
      <c r="AE21" s="28">
        <f t="shared" si="5"/>
        <v>24000</v>
      </c>
      <c r="AF21" s="28">
        <f t="shared" si="5"/>
        <v>5000</v>
      </c>
      <c r="AG21" s="28">
        <f t="shared" si="5"/>
        <v>5500</v>
      </c>
      <c r="AH21" s="28">
        <f t="shared" si="5"/>
        <v>12500</v>
      </c>
      <c r="AI21" s="28">
        <f t="shared" si="5"/>
        <v>7000</v>
      </c>
      <c r="AJ21" s="28">
        <f t="shared" si="5"/>
        <v>5500</v>
      </c>
      <c r="AK21" s="74">
        <f t="shared" si="5"/>
        <v>6500</v>
      </c>
      <c r="AL21" s="28">
        <f>$E6*AL6+$E7*AL7+$E8*AL8+$E9*AL9+$E10*AL10+$E11*AL11+$E12*AL12+$E14*AL14+$E15*AL15+$E16*AL16+$E17*AL17+$E18*AL18+$E19*AL19+$E13*AL13</f>
        <v>5500</v>
      </c>
      <c r="AM21" s="28">
        <f>$E6*AM6+$E7*AM7+$E8*AM8+$E9*AM9+$E10*AM10+$E11*AM11+$E12*AM12+$E14*AM14+$E15*AM15+$E16*AM16+$E17*AM17+$E18*AM18+$E19*AM19+$E13*AM13</f>
        <v>6500</v>
      </c>
      <c r="AN21" s="28">
        <f>$E6*AN6+$E7*AN7+$E8*AN8+$E9*AN9+$E10*AN10+$E11*AN11+$E12*AN12+$E14*AN14+$E15*AN15+$E16*AN16+$E17*AN17+$E18*AN18+$E19*AN19+$E13*AN13</f>
        <v>4000</v>
      </c>
      <c r="AO21" s="28">
        <f t="shared" ref="AO21:AU21" si="6">$E6*AO6+$E7*AO7+$E8*AO8+$E9*AO9+$E10*AO10+$E11*AO11+$E12*AO12+$E14*AO14+$E15*AO15+$E16*AO16+$E17*AO17+$E18*AO18+$E19*AO19+$E13*AO13</f>
        <v>11000</v>
      </c>
      <c r="AP21" s="28">
        <f t="shared" si="6"/>
        <v>15000</v>
      </c>
      <c r="AQ21" s="28">
        <f t="shared" si="6"/>
        <v>11500</v>
      </c>
      <c r="AR21" s="28">
        <f t="shared" si="6"/>
        <v>6000</v>
      </c>
      <c r="AS21" s="28">
        <f t="shared" si="6"/>
        <v>11000</v>
      </c>
      <c r="AT21" s="28">
        <f t="shared" si="6"/>
        <v>4000</v>
      </c>
      <c r="AU21" s="29">
        <f t="shared" si="6"/>
        <v>12500</v>
      </c>
    </row>
  </sheetData>
  <sheetProtection password="CC67" sheet="1" objects="1" scenarios="1"/>
  <mergeCells count="10">
    <mergeCell ref="B20:D21"/>
    <mergeCell ref="E20:E21"/>
    <mergeCell ref="F20:F21"/>
    <mergeCell ref="G20:G21"/>
    <mergeCell ref="B2:G2"/>
    <mergeCell ref="B4:B5"/>
    <mergeCell ref="C4:C5"/>
    <mergeCell ref="D4:D5"/>
    <mergeCell ref="E4:E5"/>
    <mergeCell ref="F4:F5"/>
  </mergeCells>
  <phoneticPr fontId="2" type="noConversion"/>
  <pageMargins left="0.7" right="0.7" top="0.75" bottom="0.75" header="0.3" footer="0.3"/>
  <pageSetup paperSize="9" scale="31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71629-49FE-43B6-9849-7534EC483F80}">
  <sheetPr>
    <pageSetUpPr fitToPage="1"/>
  </sheetPr>
  <dimension ref="B1:AU21"/>
  <sheetViews>
    <sheetView showGridLines="0" zoomScale="85" zoomScaleNormal="85" workbookViewId="0">
      <pane xSplit="7" ySplit="5" topLeftCell="H6" activePane="bottomRight" state="frozen"/>
      <selection pane="topRight" activeCell="G1" sqref="G1"/>
      <selection pane="bottomLeft" activeCell="A6" sqref="A6"/>
      <selection pane="bottomRight" activeCell="F25" sqref="F25"/>
    </sheetView>
  </sheetViews>
  <sheetFormatPr defaultColWidth="9.125" defaultRowHeight="14.25" x14ac:dyDescent="0.2"/>
  <cols>
    <col min="1" max="1" width="0.375" style="1" customWidth="1"/>
    <col min="2" max="2" width="16.875" style="1" bestFit="1" customWidth="1"/>
    <col min="3" max="4" width="13.625" style="1" customWidth="1"/>
    <col min="5" max="5" width="10.625" style="1" hidden="1" customWidth="1"/>
    <col min="6" max="6" width="10.625" style="1" customWidth="1"/>
    <col min="7" max="7" width="10.625" style="3" customWidth="1"/>
    <col min="8" max="22" width="10.625" style="4" customWidth="1"/>
    <col min="23" max="47" width="10.625" style="1" customWidth="1"/>
    <col min="48" max="16384" width="9.125" style="1"/>
  </cols>
  <sheetData>
    <row r="1" spans="2:47" ht="3.75" customHeight="1" x14ac:dyDescent="0.2"/>
    <row r="2" spans="2:47" ht="20.25" x14ac:dyDescent="0.2">
      <c r="B2" s="149" t="s">
        <v>26</v>
      </c>
      <c r="C2" s="149"/>
      <c r="D2" s="149"/>
      <c r="E2" s="149"/>
      <c r="F2" s="149"/>
      <c r="G2" s="149"/>
    </row>
    <row r="3" spans="2:47" ht="4.9000000000000004" customHeight="1" x14ac:dyDescent="0.2"/>
    <row r="4" spans="2:47" s="38" customFormat="1" ht="20.100000000000001" customHeight="1" x14ac:dyDescent="0.2">
      <c r="B4" s="150" t="s">
        <v>3</v>
      </c>
      <c r="C4" s="123" t="s">
        <v>45</v>
      </c>
      <c r="D4" s="153" t="s">
        <v>46</v>
      </c>
      <c r="E4" s="135" t="s">
        <v>4</v>
      </c>
      <c r="F4" s="129" t="s">
        <v>5</v>
      </c>
      <c r="G4" s="32" t="s">
        <v>0</v>
      </c>
      <c r="H4" s="33">
        <v>1</v>
      </c>
      <c r="I4" s="34">
        <v>2</v>
      </c>
      <c r="J4" s="34">
        <v>3</v>
      </c>
      <c r="K4" s="34">
        <v>4</v>
      </c>
      <c r="L4" s="34">
        <v>5</v>
      </c>
      <c r="M4" s="34">
        <v>6</v>
      </c>
      <c r="N4" s="34">
        <v>7</v>
      </c>
      <c r="O4" s="34">
        <v>8</v>
      </c>
      <c r="P4" s="34">
        <v>9</v>
      </c>
      <c r="Q4" s="34">
        <v>10</v>
      </c>
      <c r="R4" s="34">
        <v>11</v>
      </c>
      <c r="S4" s="34">
        <v>12</v>
      </c>
      <c r="T4" s="34">
        <v>13</v>
      </c>
      <c r="U4" s="34">
        <v>14</v>
      </c>
      <c r="V4" s="34">
        <v>15</v>
      </c>
      <c r="W4" s="34">
        <v>16</v>
      </c>
      <c r="X4" s="34">
        <v>17</v>
      </c>
      <c r="Y4" s="33">
        <v>18</v>
      </c>
      <c r="Z4" s="34">
        <v>19</v>
      </c>
      <c r="AA4" s="34">
        <v>20</v>
      </c>
      <c r="AB4" s="34">
        <v>21</v>
      </c>
      <c r="AC4" s="34">
        <v>22</v>
      </c>
      <c r="AD4" s="34">
        <v>23</v>
      </c>
      <c r="AE4" s="34">
        <v>24</v>
      </c>
      <c r="AF4" s="34">
        <v>25</v>
      </c>
      <c r="AG4" s="34">
        <v>26</v>
      </c>
      <c r="AH4" s="34">
        <v>27</v>
      </c>
      <c r="AI4" s="34">
        <v>28</v>
      </c>
      <c r="AJ4" s="34">
        <v>29</v>
      </c>
      <c r="AK4" s="96">
        <v>30</v>
      </c>
      <c r="AL4" s="34">
        <v>31</v>
      </c>
      <c r="AM4" s="34">
        <v>32</v>
      </c>
      <c r="AN4" s="34">
        <v>33</v>
      </c>
      <c r="AO4" s="34">
        <v>34</v>
      </c>
      <c r="AP4" s="34">
        <v>35</v>
      </c>
      <c r="AQ4" s="34">
        <v>36</v>
      </c>
      <c r="AR4" s="34">
        <v>37</v>
      </c>
      <c r="AS4" s="34">
        <v>38</v>
      </c>
      <c r="AT4" s="34">
        <v>39</v>
      </c>
      <c r="AU4" s="35">
        <v>40</v>
      </c>
    </row>
    <row r="5" spans="2:47" s="38" customFormat="1" ht="20.100000000000001" customHeight="1" x14ac:dyDescent="0.2">
      <c r="B5" s="151"/>
      <c r="C5" s="152"/>
      <c r="D5" s="154"/>
      <c r="E5" s="136"/>
      <c r="F5" s="130"/>
      <c r="G5" s="36" t="s">
        <v>1</v>
      </c>
      <c r="H5" s="37">
        <v>1225</v>
      </c>
      <c r="I5" s="37">
        <v>1727</v>
      </c>
      <c r="J5" s="37">
        <v>1221</v>
      </c>
      <c r="K5" s="37">
        <v>1025</v>
      </c>
      <c r="L5" s="37">
        <v>503</v>
      </c>
      <c r="M5" s="37">
        <v>1502</v>
      </c>
      <c r="N5" s="37">
        <v>1230</v>
      </c>
      <c r="O5" s="37">
        <v>1525</v>
      </c>
      <c r="P5" s="37">
        <v>523</v>
      </c>
      <c r="Q5" s="37">
        <v>710</v>
      </c>
      <c r="R5" s="37">
        <v>823</v>
      </c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94"/>
      <c r="AL5" s="7"/>
      <c r="AM5" s="7"/>
      <c r="AN5" s="7"/>
      <c r="AO5" s="7"/>
      <c r="AP5" s="7"/>
      <c r="AQ5" s="7"/>
      <c r="AR5" s="7"/>
      <c r="AS5" s="7"/>
      <c r="AT5" s="7"/>
      <c r="AU5" s="9"/>
    </row>
    <row r="6" spans="2:47" s="38" customFormat="1" ht="30" customHeight="1" x14ac:dyDescent="0.2">
      <c r="B6" s="77" t="s">
        <v>12</v>
      </c>
      <c r="C6" s="62"/>
      <c r="D6" s="35"/>
      <c r="E6" s="39">
        <v>6000</v>
      </c>
      <c r="F6" s="12">
        <f>E6*G6</f>
        <v>30000</v>
      </c>
      <c r="G6" s="95">
        <f t="shared" ref="G6:G19" si="0">SUM(H6:AU6)</f>
        <v>5</v>
      </c>
      <c r="H6" s="40"/>
      <c r="I6" s="40"/>
      <c r="J6" s="40">
        <v>1</v>
      </c>
      <c r="K6" s="40">
        <v>1</v>
      </c>
      <c r="L6" s="40">
        <v>1</v>
      </c>
      <c r="M6" s="40">
        <v>1</v>
      </c>
      <c r="N6" s="40">
        <v>1</v>
      </c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97"/>
      <c r="AL6" s="40"/>
      <c r="AM6" s="40"/>
      <c r="AN6" s="40"/>
      <c r="AO6" s="40"/>
      <c r="AP6" s="40"/>
      <c r="AQ6" s="40"/>
      <c r="AR6" s="40"/>
      <c r="AS6" s="40"/>
      <c r="AT6" s="40"/>
      <c r="AU6" s="41"/>
    </row>
    <row r="7" spans="2:47" s="38" customFormat="1" ht="30" customHeight="1" x14ac:dyDescent="0.2">
      <c r="B7" s="78" t="s">
        <v>13</v>
      </c>
      <c r="C7" s="63"/>
      <c r="D7" s="64"/>
      <c r="E7" s="42">
        <v>6500</v>
      </c>
      <c r="F7" s="18">
        <f t="shared" ref="F7:F19" si="1">E7*G7</f>
        <v>26000</v>
      </c>
      <c r="G7" s="95">
        <f t="shared" si="0"/>
        <v>4</v>
      </c>
      <c r="H7" s="43"/>
      <c r="I7" s="43"/>
      <c r="J7" s="43"/>
      <c r="K7" s="43">
        <v>1</v>
      </c>
      <c r="L7" s="43"/>
      <c r="M7" s="43"/>
      <c r="N7" s="43"/>
      <c r="O7" s="43">
        <v>1</v>
      </c>
      <c r="P7" s="43"/>
      <c r="Q7" s="43">
        <v>1</v>
      </c>
      <c r="R7" s="43">
        <v>1</v>
      </c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98"/>
      <c r="AL7" s="43"/>
      <c r="AM7" s="43"/>
      <c r="AN7" s="43"/>
      <c r="AO7" s="43"/>
      <c r="AP7" s="43"/>
      <c r="AQ7" s="43"/>
      <c r="AR7" s="43"/>
      <c r="AS7" s="43"/>
      <c r="AT7" s="43"/>
      <c r="AU7" s="44"/>
    </row>
    <row r="8" spans="2:47" s="38" customFormat="1" ht="30" customHeight="1" x14ac:dyDescent="0.2">
      <c r="B8" s="78" t="s">
        <v>14</v>
      </c>
      <c r="C8" s="63"/>
      <c r="D8" s="64"/>
      <c r="E8" s="42">
        <v>7000</v>
      </c>
      <c r="F8" s="18">
        <f t="shared" si="1"/>
        <v>21000</v>
      </c>
      <c r="G8" s="95">
        <f t="shared" si="0"/>
        <v>3</v>
      </c>
      <c r="H8" s="43"/>
      <c r="I8" s="43"/>
      <c r="J8" s="43"/>
      <c r="K8" s="43">
        <v>1</v>
      </c>
      <c r="L8" s="43">
        <v>1</v>
      </c>
      <c r="M8" s="43"/>
      <c r="N8" s="43">
        <v>1</v>
      </c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98"/>
      <c r="AL8" s="43"/>
      <c r="AM8" s="43"/>
      <c r="AN8" s="43"/>
      <c r="AO8" s="43"/>
      <c r="AP8" s="43"/>
      <c r="AQ8" s="43"/>
      <c r="AR8" s="43"/>
      <c r="AS8" s="43"/>
      <c r="AT8" s="43"/>
      <c r="AU8" s="44"/>
    </row>
    <row r="9" spans="2:47" s="38" customFormat="1" ht="30" customHeight="1" x14ac:dyDescent="0.2">
      <c r="B9" s="78" t="s">
        <v>15</v>
      </c>
      <c r="C9" s="63"/>
      <c r="D9" s="64"/>
      <c r="E9" s="42">
        <v>5500</v>
      </c>
      <c r="F9" s="18">
        <f t="shared" si="1"/>
        <v>33000</v>
      </c>
      <c r="G9" s="95">
        <f t="shared" si="0"/>
        <v>6</v>
      </c>
      <c r="H9" s="43"/>
      <c r="I9" s="43">
        <v>1</v>
      </c>
      <c r="J9" s="43">
        <v>2</v>
      </c>
      <c r="K9" s="43">
        <v>2</v>
      </c>
      <c r="L9" s="43"/>
      <c r="M9" s="43"/>
      <c r="N9" s="43"/>
      <c r="O9" s="43"/>
      <c r="P9" s="43">
        <v>1</v>
      </c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98"/>
      <c r="AL9" s="43"/>
      <c r="AM9" s="43"/>
      <c r="AN9" s="43"/>
      <c r="AO9" s="43"/>
      <c r="AP9" s="43"/>
      <c r="AQ9" s="43"/>
      <c r="AR9" s="43"/>
      <c r="AS9" s="43"/>
      <c r="AT9" s="43"/>
      <c r="AU9" s="44"/>
    </row>
    <row r="10" spans="2:47" s="38" customFormat="1" ht="30" customHeight="1" x14ac:dyDescent="0.2">
      <c r="B10" s="78" t="s">
        <v>16</v>
      </c>
      <c r="C10" s="63"/>
      <c r="D10" s="64"/>
      <c r="E10" s="42">
        <v>4000</v>
      </c>
      <c r="F10" s="18">
        <f t="shared" si="1"/>
        <v>4000</v>
      </c>
      <c r="G10" s="95">
        <f t="shared" si="0"/>
        <v>1</v>
      </c>
      <c r="H10" s="43"/>
      <c r="I10" s="43"/>
      <c r="J10" s="43"/>
      <c r="K10" s="43">
        <v>1</v>
      </c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98"/>
      <c r="AL10" s="43"/>
      <c r="AM10" s="43"/>
      <c r="AN10" s="43"/>
      <c r="AO10" s="43"/>
      <c r="AP10" s="43"/>
      <c r="AQ10" s="43"/>
      <c r="AR10" s="43"/>
      <c r="AS10" s="43"/>
      <c r="AT10" s="43"/>
      <c r="AU10" s="44"/>
    </row>
    <row r="11" spans="2:47" s="38" customFormat="1" ht="30" customHeight="1" x14ac:dyDescent="0.2">
      <c r="B11" s="78" t="s">
        <v>17</v>
      </c>
      <c r="C11" s="63"/>
      <c r="D11" s="64"/>
      <c r="E11" s="42">
        <v>4000</v>
      </c>
      <c r="F11" s="18">
        <f t="shared" si="1"/>
        <v>8000</v>
      </c>
      <c r="G11" s="95">
        <f t="shared" si="0"/>
        <v>2</v>
      </c>
      <c r="H11" s="43"/>
      <c r="I11" s="43"/>
      <c r="J11" s="43"/>
      <c r="K11" s="43">
        <v>1</v>
      </c>
      <c r="L11" s="43"/>
      <c r="M11" s="43"/>
      <c r="N11" s="43"/>
      <c r="O11" s="43"/>
      <c r="P11" s="43"/>
      <c r="Q11" s="43">
        <v>1</v>
      </c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98"/>
      <c r="AL11" s="43"/>
      <c r="AM11" s="43"/>
      <c r="AN11" s="43"/>
      <c r="AO11" s="43"/>
      <c r="AP11" s="43"/>
      <c r="AQ11" s="43"/>
      <c r="AR11" s="43"/>
      <c r="AS11" s="43"/>
      <c r="AT11" s="43"/>
      <c r="AU11" s="44"/>
    </row>
    <row r="12" spans="2:47" s="38" customFormat="1" ht="30" customHeight="1" x14ac:dyDescent="0.2">
      <c r="B12" s="78" t="s">
        <v>18</v>
      </c>
      <c r="C12" s="63"/>
      <c r="D12" s="64"/>
      <c r="E12" s="42">
        <v>4000</v>
      </c>
      <c r="F12" s="18">
        <f t="shared" si="1"/>
        <v>12000</v>
      </c>
      <c r="G12" s="95">
        <f t="shared" si="0"/>
        <v>3</v>
      </c>
      <c r="H12" s="43">
        <v>1</v>
      </c>
      <c r="I12" s="43">
        <v>1</v>
      </c>
      <c r="J12" s="43"/>
      <c r="K12" s="43">
        <v>1</v>
      </c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98"/>
      <c r="AL12" s="43"/>
      <c r="AM12" s="43"/>
      <c r="AN12" s="43"/>
      <c r="AO12" s="43"/>
      <c r="AP12" s="43"/>
      <c r="AQ12" s="43"/>
      <c r="AR12" s="43"/>
      <c r="AS12" s="43"/>
      <c r="AT12" s="43"/>
      <c r="AU12" s="44"/>
    </row>
    <row r="13" spans="2:47" s="38" customFormat="1" ht="30" customHeight="1" x14ac:dyDescent="0.2">
      <c r="B13" s="78" t="s">
        <v>19</v>
      </c>
      <c r="C13" s="63"/>
      <c r="D13" s="64"/>
      <c r="E13" s="42">
        <v>5000</v>
      </c>
      <c r="F13" s="18">
        <f t="shared" si="1"/>
        <v>5000</v>
      </c>
      <c r="G13" s="95">
        <f t="shared" si="0"/>
        <v>1</v>
      </c>
      <c r="H13" s="45"/>
      <c r="I13" s="45"/>
      <c r="J13" s="45"/>
      <c r="K13" s="45">
        <v>1</v>
      </c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99"/>
      <c r="AL13" s="43"/>
      <c r="AM13" s="43"/>
      <c r="AN13" s="43"/>
      <c r="AO13" s="43"/>
      <c r="AP13" s="43"/>
      <c r="AQ13" s="43"/>
      <c r="AR13" s="43"/>
      <c r="AS13" s="43"/>
      <c r="AT13" s="43"/>
      <c r="AU13" s="44"/>
    </row>
    <row r="14" spans="2:47" s="38" customFormat="1" ht="30" customHeight="1" x14ac:dyDescent="0.2">
      <c r="B14" s="78" t="s">
        <v>20</v>
      </c>
      <c r="C14" s="63"/>
      <c r="D14" s="64"/>
      <c r="E14" s="42">
        <v>7000</v>
      </c>
      <c r="F14" s="18">
        <f t="shared" si="1"/>
        <v>7000</v>
      </c>
      <c r="G14" s="95">
        <f t="shared" si="0"/>
        <v>1</v>
      </c>
      <c r="H14" s="43"/>
      <c r="I14" s="43"/>
      <c r="J14" s="43"/>
      <c r="K14" s="43">
        <v>1</v>
      </c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98"/>
      <c r="AL14" s="43"/>
      <c r="AM14" s="43"/>
      <c r="AN14" s="43"/>
      <c r="AO14" s="43"/>
      <c r="AP14" s="43"/>
      <c r="AQ14" s="43"/>
      <c r="AR14" s="43"/>
      <c r="AS14" s="43"/>
      <c r="AT14" s="43"/>
      <c r="AU14" s="44"/>
    </row>
    <row r="15" spans="2:47" s="38" customFormat="1" ht="30" customHeight="1" x14ac:dyDescent="0.2">
      <c r="B15" s="78" t="s">
        <v>21</v>
      </c>
      <c r="C15" s="63"/>
      <c r="D15" s="64"/>
      <c r="E15" s="42">
        <v>7000</v>
      </c>
      <c r="F15" s="18">
        <f t="shared" si="1"/>
        <v>7000</v>
      </c>
      <c r="G15" s="95">
        <f t="shared" si="0"/>
        <v>1</v>
      </c>
      <c r="H15" s="43"/>
      <c r="I15" s="43"/>
      <c r="J15" s="43"/>
      <c r="K15" s="43">
        <v>1</v>
      </c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98"/>
      <c r="AL15" s="43"/>
      <c r="AM15" s="43"/>
      <c r="AN15" s="43"/>
      <c r="AO15" s="43"/>
      <c r="AP15" s="43"/>
      <c r="AQ15" s="43"/>
      <c r="AR15" s="43"/>
      <c r="AS15" s="43"/>
      <c r="AT15" s="43"/>
      <c r="AU15" s="44"/>
    </row>
    <row r="16" spans="2:47" s="38" customFormat="1" ht="30" customHeight="1" x14ac:dyDescent="0.2">
      <c r="B16" s="78" t="s">
        <v>22</v>
      </c>
      <c r="C16" s="63"/>
      <c r="D16" s="64"/>
      <c r="E16" s="42">
        <v>7000</v>
      </c>
      <c r="F16" s="18">
        <f t="shared" si="1"/>
        <v>0</v>
      </c>
      <c r="G16" s="95">
        <f t="shared" si="0"/>
        <v>0</v>
      </c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98"/>
      <c r="AL16" s="43"/>
      <c r="AM16" s="43"/>
      <c r="AN16" s="43"/>
      <c r="AO16" s="43"/>
      <c r="AP16" s="43"/>
      <c r="AQ16" s="43"/>
      <c r="AR16" s="43"/>
      <c r="AS16" s="43"/>
      <c r="AT16" s="43"/>
      <c r="AU16" s="44"/>
    </row>
    <row r="17" spans="2:47" s="38" customFormat="1" ht="30" customHeight="1" x14ac:dyDescent="0.2">
      <c r="B17" s="78" t="s">
        <v>23</v>
      </c>
      <c r="C17" s="63"/>
      <c r="D17" s="64"/>
      <c r="E17" s="42">
        <v>7000</v>
      </c>
      <c r="F17" s="18">
        <f t="shared" si="1"/>
        <v>0</v>
      </c>
      <c r="G17" s="95">
        <f t="shared" si="0"/>
        <v>0</v>
      </c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98"/>
      <c r="AL17" s="43"/>
      <c r="AM17" s="43"/>
      <c r="AN17" s="43"/>
      <c r="AO17" s="43"/>
      <c r="AP17" s="43"/>
      <c r="AQ17" s="43"/>
      <c r="AR17" s="43"/>
      <c r="AS17" s="43"/>
      <c r="AT17" s="43"/>
      <c r="AU17" s="44"/>
    </row>
    <row r="18" spans="2:47" s="38" customFormat="1" ht="30" customHeight="1" x14ac:dyDescent="0.2">
      <c r="B18" s="78" t="s">
        <v>24</v>
      </c>
      <c r="C18" s="63"/>
      <c r="D18" s="64"/>
      <c r="E18" s="42">
        <v>7000</v>
      </c>
      <c r="F18" s="18">
        <f t="shared" si="1"/>
        <v>0</v>
      </c>
      <c r="G18" s="95">
        <f t="shared" si="0"/>
        <v>0</v>
      </c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99"/>
      <c r="AL18" s="43"/>
      <c r="AM18" s="43"/>
      <c r="AN18" s="43"/>
      <c r="AO18" s="43"/>
      <c r="AP18" s="43"/>
      <c r="AQ18" s="43"/>
      <c r="AR18" s="43"/>
      <c r="AS18" s="43"/>
      <c r="AT18" s="43"/>
      <c r="AU18" s="44"/>
    </row>
    <row r="19" spans="2:47" s="38" customFormat="1" ht="30" customHeight="1" x14ac:dyDescent="0.2">
      <c r="B19" s="79" t="s">
        <v>25</v>
      </c>
      <c r="C19" s="65"/>
      <c r="D19" s="9"/>
      <c r="E19" s="61">
        <v>7000</v>
      </c>
      <c r="F19" s="50">
        <f t="shared" si="1"/>
        <v>0</v>
      </c>
      <c r="G19" s="95">
        <f t="shared" si="0"/>
        <v>0</v>
      </c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98"/>
      <c r="AL19" s="45"/>
      <c r="AM19" s="45"/>
      <c r="AN19" s="45"/>
      <c r="AO19" s="45"/>
      <c r="AP19" s="45"/>
      <c r="AQ19" s="45"/>
      <c r="AR19" s="45"/>
      <c r="AS19" s="45"/>
      <c r="AT19" s="45"/>
      <c r="AU19" s="60"/>
    </row>
    <row r="20" spans="2:47" s="38" customFormat="1" ht="20.100000000000001" customHeight="1" x14ac:dyDescent="0.2">
      <c r="B20" s="139" t="s">
        <v>8</v>
      </c>
      <c r="C20" s="140"/>
      <c r="D20" s="144"/>
      <c r="E20" s="146">
        <f>SUM(E6:E8,E10:E15)+E9*2</f>
        <v>61500</v>
      </c>
      <c r="F20" s="125">
        <f t="shared" ref="F20:AH20" si="2">SUM(F6:F19)</f>
        <v>153000</v>
      </c>
      <c r="G20" s="125">
        <f t="shared" si="2"/>
        <v>27</v>
      </c>
      <c r="H20" s="23">
        <f t="shared" si="2"/>
        <v>1</v>
      </c>
      <c r="I20" s="23">
        <f t="shared" si="2"/>
        <v>2</v>
      </c>
      <c r="J20" s="23">
        <f t="shared" si="2"/>
        <v>3</v>
      </c>
      <c r="K20" s="23">
        <f t="shared" si="2"/>
        <v>11</v>
      </c>
      <c r="L20" s="23">
        <f t="shared" si="2"/>
        <v>2</v>
      </c>
      <c r="M20" s="23">
        <f t="shared" si="2"/>
        <v>1</v>
      </c>
      <c r="N20" s="23">
        <f t="shared" si="2"/>
        <v>2</v>
      </c>
      <c r="O20" s="23">
        <f t="shared" si="2"/>
        <v>1</v>
      </c>
      <c r="P20" s="23">
        <f t="shared" si="2"/>
        <v>1</v>
      </c>
      <c r="Q20" s="23">
        <f t="shared" si="2"/>
        <v>2</v>
      </c>
      <c r="R20" s="23">
        <f t="shared" si="2"/>
        <v>1</v>
      </c>
      <c r="S20" s="23">
        <f t="shared" si="2"/>
        <v>0</v>
      </c>
      <c r="T20" s="23">
        <f t="shared" si="2"/>
        <v>0</v>
      </c>
      <c r="U20" s="23">
        <f t="shared" si="2"/>
        <v>0</v>
      </c>
      <c r="V20" s="23">
        <f t="shared" si="2"/>
        <v>0</v>
      </c>
      <c r="W20" s="23">
        <f t="shared" si="2"/>
        <v>0</v>
      </c>
      <c r="X20" s="23">
        <f t="shared" si="2"/>
        <v>0</v>
      </c>
      <c r="Y20" s="23">
        <f t="shared" si="2"/>
        <v>0</v>
      </c>
      <c r="Z20" s="23">
        <f t="shared" si="2"/>
        <v>0</v>
      </c>
      <c r="AA20" s="23">
        <f t="shared" si="2"/>
        <v>0</v>
      </c>
      <c r="AB20" s="23">
        <f t="shared" si="2"/>
        <v>0</v>
      </c>
      <c r="AC20" s="23">
        <f t="shared" si="2"/>
        <v>0</v>
      </c>
      <c r="AD20" s="23">
        <f t="shared" si="2"/>
        <v>0</v>
      </c>
      <c r="AE20" s="23">
        <f t="shared" si="2"/>
        <v>0</v>
      </c>
      <c r="AF20" s="23">
        <f t="shared" si="2"/>
        <v>0</v>
      </c>
      <c r="AG20" s="23">
        <f t="shared" si="2"/>
        <v>0</v>
      </c>
      <c r="AH20" s="23">
        <f t="shared" si="2"/>
        <v>0</v>
      </c>
      <c r="AI20" s="23">
        <f>SUM(AI6:AI19)</f>
        <v>0</v>
      </c>
      <c r="AJ20" s="23">
        <f>SUM(AJ6:AJ19)</f>
        <v>0</v>
      </c>
      <c r="AK20" s="100">
        <f>SUM(AK6:AK19)</f>
        <v>0</v>
      </c>
      <c r="AL20" s="101">
        <f>SUM(AL6:AL19)</f>
        <v>0</v>
      </c>
      <c r="AM20" s="101">
        <f t="shared" ref="AM20:AU20" si="3">SUM(AM6:AM19)</f>
        <v>0</v>
      </c>
      <c r="AN20" s="101">
        <f t="shared" si="3"/>
        <v>0</v>
      </c>
      <c r="AO20" s="101">
        <f t="shared" si="3"/>
        <v>0</v>
      </c>
      <c r="AP20" s="101">
        <f t="shared" si="3"/>
        <v>0</v>
      </c>
      <c r="AQ20" s="101">
        <f t="shared" si="3"/>
        <v>0</v>
      </c>
      <c r="AR20" s="101">
        <f t="shared" si="3"/>
        <v>0</v>
      </c>
      <c r="AS20" s="101">
        <f t="shared" si="3"/>
        <v>0</v>
      </c>
      <c r="AT20" s="101">
        <f t="shared" si="3"/>
        <v>0</v>
      </c>
      <c r="AU20" s="102">
        <f t="shared" si="3"/>
        <v>0</v>
      </c>
    </row>
    <row r="21" spans="2:47" s="38" customFormat="1" ht="20.100000000000001" customHeight="1" x14ac:dyDescent="0.2">
      <c r="B21" s="141"/>
      <c r="C21" s="142"/>
      <c r="D21" s="145"/>
      <c r="E21" s="147"/>
      <c r="F21" s="126"/>
      <c r="G21" s="126"/>
      <c r="H21" s="46">
        <f>$E6*H6+$E7*H7+$E8*H8+$E9*H9+$E10*H10+$E11*H11+$E12*H12+$E14*H14+$E15*H15+$E16*H16+$E17*H17+$E18*H18+$E19*H19+$E13*H13</f>
        <v>4000</v>
      </c>
      <c r="I21" s="28">
        <f t="shared" ref="I21:AK21" si="4">$E6*I6+$E7*I7+$E8*I8+$E9*I9+$E10*I10+$E11*I11+$E12*I12+$E14*I14+$E15*I15+$E16*I16+$E17*I17+$E18*I18+$E19*I19+$E13*I13</f>
        <v>9500</v>
      </c>
      <c r="J21" s="28">
        <f t="shared" si="4"/>
        <v>17000</v>
      </c>
      <c r="K21" s="28">
        <f t="shared" si="4"/>
        <v>61500</v>
      </c>
      <c r="L21" s="28">
        <f t="shared" si="4"/>
        <v>13000</v>
      </c>
      <c r="M21" s="28">
        <f t="shared" si="4"/>
        <v>6000</v>
      </c>
      <c r="N21" s="28">
        <f t="shared" si="4"/>
        <v>13000</v>
      </c>
      <c r="O21" s="28">
        <f t="shared" si="4"/>
        <v>6500</v>
      </c>
      <c r="P21" s="28">
        <f t="shared" si="4"/>
        <v>5500</v>
      </c>
      <c r="Q21" s="28">
        <f t="shared" si="4"/>
        <v>10500</v>
      </c>
      <c r="R21" s="28">
        <f t="shared" si="4"/>
        <v>6500</v>
      </c>
      <c r="S21" s="28">
        <f t="shared" si="4"/>
        <v>0</v>
      </c>
      <c r="T21" s="28">
        <f t="shared" si="4"/>
        <v>0</v>
      </c>
      <c r="U21" s="28">
        <f t="shared" si="4"/>
        <v>0</v>
      </c>
      <c r="V21" s="28">
        <f t="shared" si="4"/>
        <v>0</v>
      </c>
      <c r="W21" s="28">
        <f t="shared" si="4"/>
        <v>0</v>
      </c>
      <c r="X21" s="28">
        <f t="shared" si="4"/>
        <v>0</v>
      </c>
      <c r="Y21" s="28">
        <f t="shared" si="4"/>
        <v>0</v>
      </c>
      <c r="Z21" s="28">
        <f t="shared" si="4"/>
        <v>0</v>
      </c>
      <c r="AA21" s="28">
        <f t="shared" si="4"/>
        <v>0</v>
      </c>
      <c r="AB21" s="28">
        <f t="shared" si="4"/>
        <v>0</v>
      </c>
      <c r="AC21" s="28">
        <f t="shared" si="4"/>
        <v>0</v>
      </c>
      <c r="AD21" s="28">
        <f t="shared" si="4"/>
        <v>0</v>
      </c>
      <c r="AE21" s="28">
        <f t="shared" si="4"/>
        <v>0</v>
      </c>
      <c r="AF21" s="28">
        <f t="shared" si="4"/>
        <v>0</v>
      </c>
      <c r="AG21" s="28">
        <f t="shared" si="4"/>
        <v>0</v>
      </c>
      <c r="AH21" s="28">
        <f t="shared" si="4"/>
        <v>0</v>
      </c>
      <c r="AI21" s="28">
        <f t="shared" si="4"/>
        <v>0</v>
      </c>
      <c r="AJ21" s="28">
        <f t="shared" si="4"/>
        <v>0</v>
      </c>
      <c r="AK21" s="74">
        <f t="shared" si="4"/>
        <v>0</v>
      </c>
      <c r="AL21" s="28">
        <f>$E6*AL6+$E7*AL7+$E8*AL8+$E9*AL9+$E10*AL10+$E11*AL11+$E12*AL12+$E14*AL14+$E15*AL15+$E16*AL16+$E17*AL17+$E18*AL18+$E19*AL19+$E13*AL13</f>
        <v>0</v>
      </c>
      <c r="AM21" s="28">
        <f>$E6*AM6+$E7*AM7+$E8*AM8+$E9*AM9+$E10*AM10+$E11*AM11+$E12*AM12+$E14*AM14+$E15*AM15+$E16*AM16+$E17*AM17+$E18*AM18+$E19*AM19+$E13*AM13</f>
        <v>0</v>
      </c>
      <c r="AN21" s="28">
        <f>$E6*AN6+$E7*AN7+$E8*AN8+$E9*AN9+$E10*AN10+$E11*AN11+$E12*AN12+$E14*AN14+$E15*AN15+$E16*AN16+$E17*AN17+$E18*AN18+$E19*AN19+$E13*AN13</f>
        <v>0</v>
      </c>
      <c r="AO21" s="28">
        <f t="shared" ref="AO21:AU21" si="5">$E6*AO6+$E7*AO7+$E8*AO8+$E9*AO9+$E10*AO10+$E11*AO11+$E12*AO12+$E14*AO14+$E15*AO15+$E16*AO16+$E17*AO17+$E18*AO18+$E19*AO19+$E13*AO13</f>
        <v>0</v>
      </c>
      <c r="AP21" s="28">
        <f t="shared" si="5"/>
        <v>0</v>
      </c>
      <c r="AQ21" s="28">
        <f t="shared" si="5"/>
        <v>0</v>
      </c>
      <c r="AR21" s="28">
        <f t="shared" si="5"/>
        <v>0</v>
      </c>
      <c r="AS21" s="28">
        <f t="shared" si="5"/>
        <v>0</v>
      </c>
      <c r="AT21" s="28">
        <f t="shared" si="5"/>
        <v>0</v>
      </c>
      <c r="AU21" s="29">
        <f t="shared" si="5"/>
        <v>0</v>
      </c>
    </row>
  </sheetData>
  <sheetProtection password="CC67" sheet="1" objects="1" scenarios="1"/>
  <mergeCells count="10">
    <mergeCell ref="B20:D21"/>
    <mergeCell ref="E20:E21"/>
    <mergeCell ref="F20:F21"/>
    <mergeCell ref="G20:G21"/>
    <mergeCell ref="B2:G2"/>
    <mergeCell ref="B4:B5"/>
    <mergeCell ref="C4:C5"/>
    <mergeCell ref="D4:D5"/>
    <mergeCell ref="E4:E5"/>
    <mergeCell ref="F4:F5"/>
  </mergeCells>
  <phoneticPr fontId="2" type="noConversion"/>
  <pageMargins left="0.7" right="0.7" top="0.75" bottom="0.75" header="0.3" footer="0.3"/>
  <pageSetup paperSize="9" scale="31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B1:AU21"/>
  <sheetViews>
    <sheetView showGridLines="0" zoomScale="85" zoomScaleNormal="85" workbookViewId="0">
      <pane xSplit="7" ySplit="5" topLeftCell="I6" activePane="bottomRight" state="frozen"/>
      <selection pane="topRight" activeCell="G1" sqref="G1"/>
      <selection pane="bottomLeft" activeCell="A6" sqref="A6"/>
      <selection pane="bottomRight" activeCell="D18" sqref="D18"/>
    </sheetView>
  </sheetViews>
  <sheetFormatPr defaultColWidth="9.125" defaultRowHeight="14.25" x14ac:dyDescent="0.2"/>
  <cols>
    <col min="1" max="1" width="0.375" style="1" customWidth="1"/>
    <col min="2" max="2" width="16.875" style="1" bestFit="1" customWidth="1"/>
    <col min="3" max="4" width="13.625" style="1" customWidth="1"/>
    <col min="5" max="5" width="10.625" style="1" hidden="1" customWidth="1"/>
    <col min="6" max="6" width="10.625" style="1" customWidth="1"/>
    <col min="7" max="7" width="10.625" style="3" customWidth="1"/>
    <col min="8" max="22" width="10.625" style="4" customWidth="1"/>
    <col min="23" max="47" width="10.625" style="1" customWidth="1"/>
    <col min="48" max="16384" width="9.125" style="1"/>
  </cols>
  <sheetData>
    <row r="1" spans="2:47" ht="3.75" customHeight="1" x14ac:dyDescent="0.2"/>
    <row r="2" spans="2:47" ht="20.25" x14ac:dyDescent="0.2">
      <c r="B2" s="149" t="s">
        <v>26</v>
      </c>
      <c r="C2" s="149"/>
      <c r="D2" s="149"/>
      <c r="E2" s="149"/>
      <c r="F2" s="149"/>
      <c r="G2" s="149"/>
    </row>
    <row r="3" spans="2:47" ht="4.9000000000000004" customHeight="1" x14ac:dyDescent="0.2"/>
    <row r="4" spans="2:47" s="38" customFormat="1" ht="20.100000000000001" customHeight="1" x14ac:dyDescent="0.2">
      <c r="B4" s="150" t="s">
        <v>3</v>
      </c>
      <c r="C4" s="123" t="s">
        <v>45</v>
      </c>
      <c r="D4" s="153" t="s">
        <v>46</v>
      </c>
      <c r="E4" s="135" t="s">
        <v>4</v>
      </c>
      <c r="F4" s="129" t="s">
        <v>5</v>
      </c>
      <c r="G4" s="32" t="s">
        <v>0</v>
      </c>
      <c r="H4" s="33">
        <v>1</v>
      </c>
      <c r="I4" s="34">
        <v>2</v>
      </c>
      <c r="J4" s="34">
        <v>3</v>
      </c>
      <c r="K4" s="34">
        <v>4</v>
      </c>
      <c r="L4" s="34">
        <v>5</v>
      </c>
      <c r="M4" s="34">
        <v>6</v>
      </c>
      <c r="N4" s="34">
        <v>7</v>
      </c>
      <c r="O4" s="34">
        <v>8</v>
      </c>
      <c r="P4" s="34">
        <v>9</v>
      </c>
      <c r="Q4" s="34">
        <v>10</v>
      </c>
      <c r="R4" s="34">
        <v>11</v>
      </c>
      <c r="S4" s="34">
        <v>12</v>
      </c>
      <c r="T4" s="34">
        <v>13</v>
      </c>
      <c r="U4" s="34">
        <v>14</v>
      </c>
      <c r="V4" s="34">
        <v>15</v>
      </c>
      <c r="W4" s="34">
        <v>16</v>
      </c>
      <c r="X4" s="34">
        <v>17</v>
      </c>
      <c r="Y4" s="33">
        <v>18</v>
      </c>
      <c r="Z4" s="34">
        <v>19</v>
      </c>
      <c r="AA4" s="34">
        <v>20</v>
      </c>
      <c r="AB4" s="34">
        <v>21</v>
      </c>
      <c r="AC4" s="34">
        <v>22</v>
      </c>
      <c r="AD4" s="34">
        <v>23</v>
      </c>
      <c r="AE4" s="34">
        <v>24</v>
      </c>
      <c r="AF4" s="34">
        <v>25</v>
      </c>
      <c r="AG4" s="34">
        <v>26</v>
      </c>
      <c r="AH4" s="34">
        <v>27</v>
      </c>
      <c r="AI4" s="34">
        <v>28</v>
      </c>
      <c r="AJ4" s="34">
        <v>29</v>
      </c>
      <c r="AK4" s="96">
        <v>30</v>
      </c>
      <c r="AL4" s="34">
        <v>31</v>
      </c>
      <c r="AM4" s="34">
        <v>32</v>
      </c>
      <c r="AN4" s="34">
        <v>33</v>
      </c>
      <c r="AO4" s="34">
        <v>34</v>
      </c>
      <c r="AP4" s="34">
        <v>35</v>
      </c>
      <c r="AQ4" s="34">
        <v>36</v>
      </c>
      <c r="AR4" s="34">
        <v>37</v>
      </c>
      <c r="AS4" s="34">
        <v>38</v>
      </c>
      <c r="AT4" s="34">
        <v>39</v>
      </c>
      <c r="AU4" s="35">
        <v>40</v>
      </c>
    </row>
    <row r="5" spans="2:47" s="38" customFormat="1" ht="20.100000000000001" customHeight="1" x14ac:dyDescent="0.2">
      <c r="B5" s="151"/>
      <c r="C5" s="152"/>
      <c r="D5" s="154"/>
      <c r="E5" s="136"/>
      <c r="F5" s="130"/>
      <c r="G5" s="36" t="s">
        <v>1</v>
      </c>
      <c r="H5" s="37">
        <v>1023</v>
      </c>
      <c r="I5" s="37">
        <v>1715</v>
      </c>
      <c r="J5" s="37">
        <v>1630</v>
      </c>
      <c r="K5" s="37">
        <v>1231</v>
      </c>
      <c r="L5" s="37">
        <v>1101</v>
      </c>
      <c r="M5" s="37">
        <v>712</v>
      </c>
      <c r="N5" s="37">
        <v>1724</v>
      </c>
      <c r="O5" s="37">
        <v>1220</v>
      </c>
      <c r="P5" s="37">
        <v>922</v>
      </c>
      <c r="Q5" s="37">
        <v>1723</v>
      </c>
      <c r="R5" s="37">
        <v>920</v>
      </c>
      <c r="S5" s="37">
        <v>1214</v>
      </c>
      <c r="T5" s="37">
        <v>928</v>
      </c>
      <c r="U5" s="37">
        <v>602</v>
      </c>
      <c r="V5" s="37">
        <v>917</v>
      </c>
      <c r="W5" s="37">
        <v>717</v>
      </c>
      <c r="X5" s="37">
        <v>1515</v>
      </c>
      <c r="Y5" s="37">
        <v>1018</v>
      </c>
      <c r="Z5" s="37">
        <v>1127</v>
      </c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94"/>
      <c r="AL5" s="7"/>
      <c r="AM5" s="7"/>
      <c r="AN5" s="7"/>
      <c r="AO5" s="7"/>
      <c r="AP5" s="7"/>
      <c r="AQ5" s="7"/>
      <c r="AR5" s="7"/>
      <c r="AS5" s="7"/>
      <c r="AT5" s="7"/>
      <c r="AU5" s="9"/>
    </row>
    <row r="6" spans="2:47" s="38" customFormat="1" ht="30" customHeight="1" x14ac:dyDescent="0.2">
      <c r="B6" s="77" t="s">
        <v>12</v>
      </c>
      <c r="C6" s="62" t="s">
        <v>67</v>
      </c>
      <c r="D6" s="35"/>
      <c r="E6" s="39">
        <v>6000</v>
      </c>
      <c r="F6" s="12">
        <f>E6*G6</f>
        <v>36000</v>
      </c>
      <c r="G6" s="95">
        <f t="shared" ref="G6:G19" si="0">SUM(H6:AU6)</f>
        <v>6</v>
      </c>
      <c r="H6" s="40"/>
      <c r="I6" s="40"/>
      <c r="J6" s="40"/>
      <c r="K6" s="40">
        <v>1</v>
      </c>
      <c r="L6" s="40"/>
      <c r="M6" s="40"/>
      <c r="N6" s="40"/>
      <c r="O6" s="40"/>
      <c r="P6" s="40">
        <v>1</v>
      </c>
      <c r="Q6" s="40">
        <v>1</v>
      </c>
      <c r="R6" s="40"/>
      <c r="S6" s="40"/>
      <c r="T6" s="40"/>
      <c r="U6" s="40">
        <v>1</v>
      </c>
      <c r="V6" s="40"/>
      <c r="W6" s="40"/>
      <c r="X6" s="40">
        <v>1</v>
      </c>
      <c r="Y6" s="40"/>
      <c r="Z6" s="40">
        <v>1</v>
      </c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97"/>
      <c r="AL6" s="40"/>
      <c r="AM6" s="40"/>
      <c r="AN6" s="40"/>
      <c r="AO6" s="40"/>
      <c r="AP6" s="40"/>
      <c r="AQ6" s="40"/>
      <c r="AR6" s="40"/>
      <c r="AS6" s="40"/>
      <c r="AT6" s="40"/>
      <c r="AU6" s="41"/>
    </row>
    <row r="7" spans="2:47" s="38" customFormat="1" ht="30" customHeight="1" x14ac:dyDescent="0.2">
      <c r="B7" s="78" t="s">
        <v>13</v>
      </c>
      <c r="C7" s="63" t="s">
        <v>54</v>
      </c>
      <c r="D7" s="64"/>
      <c r="E7" s="42">
        <v>6500</v>
      </c>
      <c r="F7" s="18">
        <f t="shared" ref="F7:F19" si="1">E7*G7</f>
        <v>13000</v>
      </c>
      <c r="G7" s="95">
        <f t="shared" si="0"/>
        <v>2</v>
      </c>
      <c r="H7" s="43"/>
      <c r="I7" s="43"/>
      <c r="J7" s="43"/>
      <c r="K7" s="43"/>
      <c r="L7" s="43"/>
      <c r="M7" s="43"/>
      <c r="N7" s="43"/>
      <c r="O7" s="43"/>
      <c r="P7" s="43">
        <v>1</v>
      </c>
      <c r="Q7" s="43"/>
      <c r="R7" s="43">
        <v>1</v>
      </c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98"/>
      <c r="AL7" s="43"/>
      <c r="AM7" s="43"/>
      <c r="AN7" s="43"/>
      <c r="AO7" s="43"/>
      <c r="AP7" s="43"/>
      <c r="AQ7" s="43"/>
      <c r="AR7" s="43"/>
      <c r="AS7" s="43"/>
      <c r="AT7" s="43"/>
      <c r="AU7" s="44"/>
    </row>
    <row r="8" spans="2:47" s="38" customFormat="1" ht="30" customHeight="1" x14ac:dyDescent="0.2">
      <c r="B8" s="78" t="s">
        <v>14</v>
      </c>
      <c r="C8" s="63" t="s">
        <v>65</v>
      </c>
      <c r="D8" s="64" t="s">
        <v>71</v>
      </c>
      <c r="E8" s="42">
        <v>7000</v>
      </c>
      <c r="F8" s="18">
        <f t="shared" si="1"/>
        <v>7000</v>
      </c>
      <c r="G8" s="95">
        <f t="shared" si="0"/>
        <v>1</v>
      </c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>
        <v>1</v>
      </c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98"/>
      <c r="AL8" s="43"/>
      <c r="AM8" s="43"/>
      <c r="AN8" s="43"/>
      <c r="AO8" s="43"/>
      <c r="AP8" s="43"/>
      <c r="AQ8" s="43"/>
      <c r="AR8" s="43"/>
      <c r="AS8" s="43"/>
      <c r="AT8" s="43"/>
      <c r="AU8" s="44"/>
    </row>
    <row r="9" spans="2:47" s="38" customFormat="1" ht="30" customHeight="1" x14ac:dyDescent="0.2">
      <c r="B9" s="78" t="s">
        <v>15</v>
      </c>
      <c r="C9" s="63" t="s">
        <v>57</v>
      </c>
      <c r="D9" s="64"/>
      <c r="E9" s="42">
        <v>5500</v>
      </c>
      <c r="F9" s="18">
        <f t="shared" si="1"/>
        <v>77000</v>
      </c>
      <c r="G9" s="95">
        <f t="shared" si="0"/>
        <v>14</v>
      </c>
      <c r="H9" s="43">
        <v>2</v>
      </c>
      <c r="I9" s="43"/>
      <c r="J9" s="43"/>
      <c r="K9" s="43"/>
      <c r="L9" s="43">
        <v>2</v>
      </c>
      <c r="M9" s="43">
        <v>1</v>
      </c>
      <c r="N9" s="43">
        <v>2</v>
      </c>
      <c r="O9" s="43"/>
      <c r="P9" s="43"/>
      <c r="Q9" s="43">
        <v>1</v>
      </c>
      <c r="R9" s="43">
        <v>2</v>
      </c>
      <c r="S9" s="43">
        <v>2</v>
      </c>
      <c r="T9" s="43"/>
      <c r="U9" s="43"/>
      <c r="V9" s="43"/>
      <c r="W9" s="43"/>
      <c r="X9" s="43"/>
      <c r="Y9" s="43">
        <v>1</v>
      </c>
      <c r="Z9" s="43">
        <v>1</v>
      </c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98"/>
      <c r="AL9" s="43"/>
      <c r="AM9" s="43"/>
      <c r="AN9" s="43"/>
      <c r="AO9" s="43"/>
      <c r="AP9" s="43"/>
      <c r="AQ9" s="43"/>
      <c r="AR9" s="43"/>
      <c r="AS9" s="43"/>
      <c r="AT9" s="43"/>
      <c r="AU9" s="44"/>
    </row>
    <row r="10" spans="2:47" s="38" customFormat="1" ht="30" customHeight="1" x14ac:dyDescent="0.2">
      <c r="B10" s="78" t="s">
        <v>16</v>
      </c>
      <c r="C10" s="63" t="s">
        <v>58</v>
      </c>
      <c r="D10" s="64" t="s">
        <v>69</v>
      </c>
      <c r="E10" s="42">
        <v>4000</v>
      </c>
      <c r="F10" s="18">
        <f t="shared" si="1"/>
        <v>12000</v>
      </c>
      <c r="G10" s="95">
        <f t="shared" si="0"/>
        <v>3</v>
      </c>
      <c r="H10" s="43"/>
      <c r="I10" s="43">
        <v>1</v>
      </c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>
        <v>1</v>
      </c>
      <c r="Z10" s="43">
        <v>1</v>
      </c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98"/>
      <c r="AL10" s="43"/>
      <c r="AM10" s="43"/>
      <c r="AN10" s="43"/>
      <c r="AO10" s="43"/>
      <c r="AP10" s="43"/>
      <c r="AQ10" s="43"/>
      <c r="AR10" s="43"/>
      <c r="AS10" s="43"/>
      <c r="AT10" s="43"/>
      <c r="AU10" s="44"/>
    </row>
    <row r="11" spans="2:47" s="38" customFormat="1" ht="30" customHeight="1" x14ac:dyDescent="0.2">
      <c r="B11" s="78" t="s">
        <v>17</v>
      </c>
      <c r="C11" s="63" t="s">
        <v>59</v>
      </c>
      <c r="D11" s="64"/>
      <c r="E11" s="42">
        <v>4000</v>
      </c>
      <c r="F11" s="18">
        <f t="shared" si="1"/>
        <v>24000</v>
      </c>
      <c r="G11" s="95">
        <f t="shared" si="0"/>
        <v>6</v>
      </c>
      <c r="H11" s="43">
        <v>1</v>
      </c>
      <c r="I11" s="43"/>
      <c r="J11" s="43">
        <v>1</v>
      </c>
      <c r="K11" s="43"/>
      <c r="L11" s="43"/>
      <c r="M11" s="43"/>
      <c r="N11" s="43"/>
      <c r="O11" s="43">
        <v>1</v>
      </c>
      <c r="P11" s="43"/>
      <c r="Q11" s="43"/>
      <c r="R11" s="43"/>
      <c r="S11" s="43"/>
      <c r="T11" s="43">
        <v>1</v>
      </c>
      <c r="U11" s="43"/>
      <c r="V11" s="43"/>
      <c r="W11" s="43"/>
      <c r="X11" s="43"/>
      <c r="Y11" s="43">
        <v>1</v>
      </c>
      <c r="Z11" s="43">
        <v>1</v>
      </c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98"/>
      <c r="AL11" s="43"/>
      <c r="AM11" s="43"/>
      <c r="AN11" s="43"/>
      <c r="AO11" s="43"/>
      <c r="AP11" s="43"/>
      <c r="AQ11" s="43"/>
      <c r="AR11" s="43"/>
      <c r="AS11" s="43"/>
      <c r="AT11" s="43"/>
      <c r="AU11" s="44"/>
    </row>
    <row r="12" spans="2:47" s="38" customFormat="1" ht="30" customHeight="1" x14ac:dyDescent="0.2">
      <c r="B12" s="78" t="s">
        <v>18</v>
      </c>
      <c r="C12" s="63" t="s">
        <v>60</v>
      </c>
      <c r="D12" s="64"/>
      <c r="E12" s="42">
        <v>4000</v>
      </c>
      <c r="F12" s="18">
        <f t="shared" si="1"/>
        <v>12000</v>
      </c>
      <c r="G12" s="95">
        <f t="shared" si="0"/>
        <v>3</v>
      </c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>
        <v>1</v>
      </c>
      <c r="X12" s="43">
        <v>1</v>
      </c>
      <c r="Y12" s="43">
        <v>1</v>
      </c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98"/>
      <c r="AL12" s="43"/>
      <c r="AM12" s="43"/>
      <c r="AN12" s="43"/>
      <c r="AO12" s="43"/>
      <c r="AP12" s="43"/>
      <c r="AQ12" s="43"/>
      <c r="AR12" s="43"/>
      <c r="AS12" s="43"/>
      <c r="AT12" s="43"/>
      <c r="AU12" s="44"/>
    </row>
    <row r="13" spans="2:47" s="38" customFormat="1" ht="30" customHeight="1" x14ac:dyDescent="0.2">
      <c r="B13" s="78" t="s">
        <v>19</v>
      </c>
      <c r="C13" s="63" t="s">
        <v>59</v>
      </c>
      <c r="D13" s="64"/>
      <c r="E13" s="42">
        <v>5000</v>
      </c>
      <c r="F13" s="18">
        <f t="shared" si="1"/>
        <v>0</v>
      </c>
      <c r="G13" s="95">
        <f t="shared" si="0"/>
        <v>0</v>
      </c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99"/>
      <c r="AL13" s="43"/>
      <c r="AM13" s="43"/>
      <c r="AN13" s="43"/>
      <c r="AO13" s="43"/>
      <c r="AP13" s="43"/>
      <c r="AQ13" s="43"/>
      <c r="AR13" s="43"/>
      <c r="AS13" s="43"/>
      <c r="AT13" s="43"/>
      <c r="AU13" s="44"/>
    </row>
    <row r="14" spans="2:47" s="38" customFormat="1" ht="30" customHeight="1" x14ac:dyDescent="0.2">
      <c r="B14" s="78" t="s">
        <v>20</v>
      </c>
      <c r="C14" s="63" t="s">
        <v>53</v>
      </c>
      <c r="D14" s="64" t="s">
        <v>66</v>
      </c>
      <c r="E14" s="42">
        <v>7000</v>
      </c>
      <c r="F14" s="18">
        <f t="shared" si="1"/>
        <v>7000</v>
      </c>
      <c r="G14" s="95">
        <f t="shared" si="0"/>
        <v>1</v>
      </c>
      <c r="H14" s="43"/>
      <c r="I14" s="43"/>
      <c r="J14" s="43"/>
      <c r="K14" s="43"/>
      <c r="L14" s="43"/>
      <c r="M14" s="43"/>
      <c r="N14" s="43"/>
      <c r="O14" s="43"/>
      <c r="P14" s="43"/>
      <c r="Q14" s="43">
        <v>1</v>
      </c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98"/>
      <c r="AL14" s="43"/>
      <c r="AM14" s="43"/>
      <c r="AN14" s="43"/>
      <c r="AO14" s="43"/>
      <c r="AP14" s="43"/>
      <c r="AQ14" s="43"/>
      <c r="AR14" s="43"/>
      <c r="AS14" s="43"/>
      <c r="AT14" s="43"/>
      <c r="AU14" s="44"/>
    </row>
    <row r="15" spans="2:47" s="38" customFormat="1" ht="30" customHeight="1" x14ac:dyDescent="0.2">
      <c r="B15" s="78" t="s">
        <v>21</v>
      </c>
      <c r="C15" s="63" t="s">
        <v>66</v>
      </c>
      <c r="D15" s="64"/>
      <c r="E15" s="42">
        <v>7000</v>
      </c>
      <c r="F15" s="18">
        <f t="shared" si="1"/>
        <v>14000</v>
      </c>
      <c r="G15" s="95">
        <f t="shared" si="0"/>
        <v>2</v>
      </c>
      <c r="H15" s="43"/>
      <c r="I15" s="43"/>
      <c r="J15" s="43"/>
      <c r="K15" s="43"/>
      <c r="L15" s="43"/>
      <c r="M15" s="43"/>
      <c r="N15" s="43"/>
      <c r="O15" s="43"/>
      <c r="P15" s="43"/>
      <c r="Q15" s="43">
        <v>1</v>
      </c>
      <c r="R15" s="43"/>
      <c r="S15" s="43"/>
      <c r="T15" s="43">
        <v>1</v>
      </c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98"/>
      <c r="AL15" s="43"/>
      <c r="AM15" s="43"/>
      <c r="AN15" s="43"/>
      <c r="AO15" s="43"/>
      <c r="AP15" s="43"/>
      <c r="AQ15" s="43"/>
      <c r="AR15" s="43"/>
      <c r="AS15" s="43"/>
      <c r="AT15" s="43"/>
      <c r="AU15" s="44"/>
    </row>
    <row r="16" spans="2:47" s="38" customFormat="1" ht="30" customHeight="1" x14ac:dyDescent="0.2">
      <c r="B16" s="78" t="s">
        <v>22</v>
      </c>
      <c r="C16" s="63"/>
      <c r="D16" s="64"/>
      <c r="E16" s="42">
        <v>7000</v>
      </c>
      <c r="F16" s="18">
        <f t="shared" si="1"/>
        <v>0</v>
      </c>
      <c r="G16" s="95">
        <f t="shared" si="0"/>
        <v>0</v>
      </c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98"/>
      <c r="AL16" s="43"/>
      <c r="AM16" s="43"/>
      <c r="AN16" s="43"/>
      <c r="AO16" s="43"/>
      <c r="AP16" s="43"/>
      <c r="AQ16" s="43"/>
      <c r="AR16" s="43"/>
      <c r="AS16" s="43"/>
      <c r="AT16" s="43"/>
      <c r="AU16" s="44"/>
    </row>
    <row r="17" spans="2:47" s="38" customFormat="1" ht="30" customHeight="1" x14ac:dyDescent="0.2">
      <c r="B17" s="78" t="s">
        <v>23</v>
      </c>
      <c r="C17" s="63"/>
      <c r="D17" s="64"/>
      <c r="E17" s="42">
        <v>7000</v>
      </c>
      <c r="F17" s="18">
        <f t="shared" si="1"/>
        <v>0</v>
      </c>
      <c r="G17" s="95">
        <f t="shared" si="0"/>
        <v>0</v>
      </c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98"/>
      <c r="AL17" s="43"/>
      <c r="AM17" s="43"/>
      <c r="AN17" s="43"/>
      <c r="AO17" s="43"/>
      <c r="AP17" s="43"/>
      <c r="AQ17" s="43"/>
      <c r="AR17" s="43"/>
      <c r="AS17" s="43"/>
      <c r="AT17" s="43"/>
      <c r="AU17" s="44"/>
    </row>
    <row r="18" spans="2:47" s="38" customFormat="1" ht="30" customHeight="1" x14ac:dyDescent="0.2">
      <c r="B18" s="78" t="s">
        <v>24</v>
      </c>
      <c r="C18" s="63"/>
      <c r="D18" s="64"/>
      <c r="E18" s="42">
        <v>7000</v>
      </c>
      <c r="F18" s="18">
        <f t="shared" si="1"/>
        <v>0</v>
      </c>
      <c r="G18" s="95">
        <f t="shared" si="0"/>
        <v>0</v>
      </c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99"/>
      <c r="AL18" s="43"/>
      <c r="AM18" s="43"/>
      <c r="AN18" s="43"/>
      <c r="AO18" s="43"/>
      <c r="AP18" s="43"/>
      <c r="AQ18" s="43"/>
      <c r="AR18" s="43"/>
      <c r="AS18" s="43"/>
      <c r="AT18" s="43"/>
      <c r="AU18" s="44"/>
    </row>
    <row r="19" spans="2:47" s="38" customFormat="1" ht="30" customHeight="1" x14ac:dyDescent="0.2">
      <c r="B19" s="79" t="s">
        <v>25</v>
      </c>
      <c r="C19" s="65"/>
      <c r="D19" s="9"/>
      <c r="E19" s="61">
        <v>7000</v>
      </c>
      <c r="F19" s="50">
        <f t="shared" si="1"/>
        <v>0</v>
      </c>
      <c r="G19" s="95">
        <f t="shared" si="0"/>
        <v>0</v>
      </c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98"/>
      <c r="AL19" s="45"/>
      <c r="AM19" s="45"/>
      <c r="AN19" s="45"/>
      <c r="AO19" s="45"/>
      <c r="AP19" s="45"/>
      <c r="AQ19" s="45"/>
      <c r="AR19" s="45"/>
      <c r="AS19" s="45"/>
      <c r="AT19" s="45"/>
      <c r="AU19" s="60"/>
    </row>
    <row r="20" spans="2:47" s="38" customFormat="1" ht="20.100000000000001" customHeight="1" x14ac:dyDescent="0.2">
      <c r="B20" s="139" t="s">
        <v>8</v>
      </c>
      <c r="C20" s="140"/>
      <c r="D20" s="144"/>
      <c r="E20" s="146">
        <f>SUM(E6:E8,E10:E15)+E9*2</f>
        <v>61500</v>
      </c>
      <c r="F20" s="125">
        <f t="shared" ref="F20:X20" si="2">SUM(F6:F19)</f>
        <v>202000</v>
      </c>
      <c r="G20" s="125">
        <f t="shared" si="2"/>
        <v>38</v>
      </c>
      <c r="H20" s="23">
        <f t="shared" si="2"/>
        <v>3</v>
      </c>
      <c r="I20" s="23">
        <f t="shared" si="2"/>
        <v>1</v>
      </c>
      <c r="J20" s="23">
        <f t="shared" si="2"/>
        <v>1</v>
      </c>
      <c r="K20" s="23">
        <f t="shared" si="2"/>
        <v>1</v>
      </c>
      <c r="L20" s="23">
        <f t="shared" si="2"/>
        <v>2</v>
      </c>
      <c r="M20" s="23">
        <f t="shared" si="2"/>
        <v>1</v>
      </c>
      <c r="N20" s="23">
        <f t="shared" si="2"/>
        <v>2</v>
      </c>
      <c r="O20" s="23">
        <f t="shared" si="2"/>
        <v>1</v>
      </c>
      <c r="P20" s="23">
        <f t="shared" si="2"/>
        <v>2</v>
      </c>
      <c r="Q20" s="23">
        <f t="shared" si="2"/>
        <v>4</v>
      </c>
      <c r="R20" s="23">
        <f t="shared" si="2"/>
        <v>3</v>
      </c>
      <c r="S20" s="23">
        <f t="shared" si="2"/>
        <v>2</v>
      </c>
      <c r="T20" s="23">
        <f t="shared" si="2"/>
        <v>2</v>
      </c>
      <c r="U20" s="23">
        <f t="shared" si="2"/>
        <v>1</v>
      </c>
      <c r="V20" s="23">
        <f t="shared" si="2"/>
        <v>1</v>
      </c>
      <c r="W20" s="23">
        <f t="shared" si="2"/>
        <v>1</v>
      </c>
      <c r="X20" s="23">
        <f t="shared" si="2"/>
        <v>2</v>
      </c>
      <c r="Y20" s="23">
        <f t="shared" ref="Y20:AH20" si="3">SUM(Y6:Y19)</f>
        <v>4</v>
      </c>
      <c r="Z20" s="23">
        <f t="shared" si="3"/>
        <v>4</v>
      </c>
      <c r="AA20" s="23">
        <f t="shared" si="3"/>
        <v>0</v>
      </c>
      <c r="AB20" s="23">
        <f t="shared" si="3"/>
        <v>0</v>
      </c>
      <c r="AC20" s="23">
        <f t="shared" si="3"/>
        <v>0</v>
      </c>
      <c r="AD20" s="23">
        <f t="shared" si="3"/>
        <v>0</v>
      </c>
      <c r="AE20" s="23">
        <f t="shared" si="3"/>
        <v>0</v>
      </c>
      <c r="AF20" s="23">
        <f t="shared" si="3"/>
        <v>0</v>
      </c>
      <c r="AG20" s="23">
        <f t="shared" si="3"/>
        <v>0</v>
      </c>
      <c r="AH20" s="23">
        <f t="shared" si="3"/>
        <v>0</v>
      </c>
      <c r="AI20" s="23">
        <f>SUM(AI6:AI19)</f>
        <v>0</v>
      </c>
      <c r="AJ20" s="23">
        <f>SUM(AJ6:AJ19)</f>
        <v>0</v>
      </c>
      <c r="AK20" s="100">
        <f>SUM(AK6:AK19)</f>
        <v>0</v>
      </c>
      <c r="AL20" s="101">
        <f>SUM(AL6:AL19)</f>
        <v>0</v>
      </c>
      <c r="AM20" s="101">
        <f t="shared" ref="AM20:AU20" si="4">SUM(AM6:AM19)</f>
        <v>0</v>
      </c>
      <c r="AN20" s="101">
        <f t="shared" si="4"/>
        <v>0</v>
      </c>
      <c r="AO20" s="101">
        <f t="shared" si="4"/>
        <v>0</v>
      </c>
      <c r="AP20" s="101">
        <f t="shared" si="4"/>
        <v>0</v>
      </c>
      <c r="AQ20" s="101">
        <f t="shared" si="4"/>
        <v>0</v>
      </c>
      <c r="AR20" s="101">
        <f t="shared" si="4"/>
        <v>0</v>
      </c>
      <c r="AS20" s="101">
        <f t="shared" si="4"/>
        <v>0</v>
      </c>
      <c r="AT20" s="101">
        <f t="shared" si="4"/>
        <v>0</v>
      </c>
      <c r="AU20" s="102">
        <f t="shared" si="4"/>
        <v>0</v>
      </c>
    </row>
    <row r="21" spans="2:47" s="38" customFormat="1" ht="20.100000000000001" customHeight="1" x14ac:dyDescent="0.2">
      <c r="B21" s="141"/>
      <c r="C21" s="142"/>
      <c r="D21" s="145"/>
      <c r="E21" s="147"/>
      <c r="F21" s="126"/>
      <c r="G21" s="126"/>
      <c r="H21" s="46">
        <f>$E6*H6+$E7*H7+$E8*H8+$E9*H9+$E10*H10+$E11*H11+$E12*H12+$E14*H14+$E15*H15+$E16*H16+$E17*H17+$E18*H18+$E19*H19+$E13*H13</f>
        <v>15000</v>
      </c>
      <c r="I21" s="28">
        <f t="shared" ref="I21:AK21" si="5">$E6*I6+$E7*I7+$E8*I8+$E9*I9+$E10*I10+$E11*I11+$E12*I12+$E14*I14+$E15*I15+$E16*I16+$E17*I17+$E18*I18+$E19*I19+$E13*I13</f>
        <v>4000</v>
      </c>
      <c r="J21" s="28">
        <f t="shared" si="5"/>
        <v>4000</v>
      </c>
      <c r="K21" s="28">
        <f t="shared" si="5"/>
        <v>6000</v>
      </c>
      <c r="L21" s="28">
        <f t="shared" si="5"/>
        <v>11000</v>
      </c>
      <c r="M21" s="28">
        <f t="shared" si="5"/>
        <v>5500</v>
      </c>
      <c r="N21" s="28">
        <f t="shared" si="5"/>
        <v>11000</v>
      </c>
      <c r="O21" s="28">
        <f t="shared" si="5"/>
        <v>4000</v>
      </c>
      <c r="P21" s="28">
        <f t="shared" si="5"/>
        <v>12500</v>
      </c>
      <c r="Q21" s="28">
        <f t="shared" si="5"/>
        <v>25500</v>
      </c>
      <c r="R21" s="28">
        <f t="shared" si="5"/>
        <v>17500</v>
      </c>
      <c r="S21" s="28">
        <f t="shared" si="5"/>
        <v>11000</v>
      </c>
      <c r="T21" s="28">
        <f t="shared" si="5"/>
        <v>11000</v>
      </c>
      <c r="U21" s="28">
        <f t="shared" si="5"/>
        <v>6000</v>
      </c>
      <c r="V21" s="28">
        <f t="shared" si="5"/>
        <v>7000</v>
      </c>
      <c r="W21" s="28">
        <f t="shared" si="5"/>
        <v>4000</v>
      </c>
      <c r="X21" s="28">
        <f t="shared" si="5"/>
        <v>10000</v>
      </c>
      <c r="Y21" s="28">
        <f t="shared" si="5"/>
        <v>17500</v>
      </c>
      <c r="Z21" s="28">
        <f t="shared" si="5"/>
        <v>19500</v>
      </c>
      <c r="AA21" s="28">
        <f t="shared" si="5"/>
        <v>0</v>
      </c>
      <c r="AB21" s="28">
        <f t="shared" si="5"/>
        <v>0</v>
      </c>
      <c r="AC21" s="28">
        <f t="shared" si="5"/>
        <v>0</v>
      </c>
      <c r="AD21" s="28">
        <f t="shared" si="5"/>
        <v>0</v>
      </c>
      <c r="AE21" s="28">
        <f t="shared" si="5"/>
        <v>0</v>
      </c>
      <c r="AF21" s="28">
        <f t="shared" si="5"/>
        <v>0</v>
      </c>
      <c r="AG21" s="28">
        <f t="shared" si="5"/>
        <v>0</v>
      </c>
      <c r="AH21" s="28">
        <f t="shared" si="5"/>
        <v>0</v>
      </c>
      <c r="AI21" s="28">
        <f t="shared" si="5"/>
        <v>0</v>
      </c>
      <c r="AJ21" s="28">
        <f t="shared" si="5"/>
        <v>0</v>
      </c>
      <c r="AK21" s="74">
        <f t="shared" si="5"/>
        <v>0</v>
      </c>
      <c r="AL21" s="28">
        <f>$E6*AL6+$E7*AL7+$E8*AL8+$E9*AL9+$E10*AL10+$E11*AL11+$E12*AL12+$E14*AL14+$E15*AL15+$E16*AL16+$E17*AL17+$E18*AL18+$E19*AL19+$E13*AL13</f>
        <v>0</v>
      </c>
      <c r="AM21" s="28">
        <f>$E6*AM6+$E7*AM7+$E8*AM8+$E9*AM9+$E10*AM10+$E11*AM11+$E12*AM12+$E14*AM14+$E15*AM15+$E16*AM16+$E17*AM17+$E18*AM18+$E19*AM19+$E13*AM13</f>
        <v>0</v>
      </c>
      <c r="AN21" s="28">
        <f>$E6*AN6+$E7*AN7+$E8*AN8+$E9*AN9+$E10*AN10+$E11*AN11+$E12*AN12+$E14*AN14+$E15*AN15+$E16*AN16+$E17*AN17+$E18*AN18+$E19*AN19+$E13*AN13</f>
        <v>0</v>
      </c>
      <c r="AO21" s="28">
        <f t="shared" ref="AO21:AU21" si="6">$E6*AO6+$E7*AO7+$E8*AO8+$E9*AO9+$E10*AO10+$E11*AO11+$E12*AO12+$E14*AO14+$E15*AO15+$E16*AO16+$E17*AO17+$E18*AO18+$E19*AO19+$E13*AO13</f>
        <v>0</v>
      </c>
      <c r="AP21" s="28">
        <f t="shared" si="6"/>
        <v>0</v>
      </c>
      <c r="AQ21" s="28">
        <f t="shared" si="6"/>
        <v>0</v>
      </c>
      <c r="AR21" s="28">
        <f t="shared" si="6"/>
        <v>0</v>
      </c>
      <c r="AS21" s="28">
        <f t="shared" si="6"/>
        <v>0</v>
      </c>
      <c r="AT21" s="28">
        <f t="shared" si="6"/>
        <v>0</v>
      </c>
      <c r="AU21" s="29">
        <f t="shared" si="6"/>
        <v>0</v>
      </c>
    </row>
  </sheetData>
  <sheetProtection password="CC67" sheet="1" objects="1" scenarios="1"/>
  <mergeCells count="10">
    <mergeCell ref="B20:D21"/>
    <mergeCell ref="E20:E21"/>
    <mergeCell ref="F20:F21"/>
    <mergeCell ref="G20:G21"/>
    <mergeCell ref="B2:G2"/>
    <mergeCell ref="B4:B5"/>
    <mergeCell ref="C4:C5"/>
    <mergeCell ref="D4:D5"/>
    <mergeCell ref="E4:E5"/>
    <mergeCell ref="F4:F5"/>
  </mergeCells>
  <phoneticPr fontId="2" type="noConversion"/>
  <pageMargins left="0.7" right="0.7" top="0.75" bottom="0.75" header="0.3" footer="0.3"/>
  <pageSetup paperSize="9" scale="31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B1:AU21"/>
  <sheetViews>
    <sheetView showGridLines="0" zoomScale="85" zoomScaleNormal="85" workbookViewId="0">
      <pane xSplit="7" ySplit="5" topLeftCell="I6" activePane="bottomRight" state="frozen"/>
      <selection pane="topRight" activeCell="G1" sqref="G1"/>
      <selection pane="bottomLeft" activeCell="A6" sqref="A6"/>
      <selection pane="bottomRight" activeCell="D17" sqref="D17"/>
    </sheetView>
  </sheetViews>
  <sheetFormatPr defaultColWidth="9.125" defaultRowHeight="14.25" x14ac:dyDescent="0.2"/>
  <cols>
    <col min="1" max="1" width="0.375" style="1" customWidth="1"/>
    <col min="2" max="2" width="16.875" style="1" bestFit="1" customWidth="1"/>
    <col min="3" max="4" width="13.625" style="1" customWidth="1"/>
    <col min="5" max="5" width="10.625" style="1" hidden="1" customWidth="1"/>
    <col min="6" max="6" width="10.625" style="1" customWidth="1"/>
    <col min="7" max="7" width="10.625" style="3" customWidth="1"/>
    <col min="8" max="22" width="10.625" style="4" customWidth="1"/>
    <col min="23" max="47" width="10.625" style="1" customWidth="1"/>
    <col min="48" max="16384" width="9.125" style="1"/>
  </cols>
  <sheetData>
    <row r="1" spans="2:47" ht="3.75" customHeight="1" x14ac:dyDescent="0.2"/>
    <row r="2" spans="2:47" ht="20.25" x14ac:dyDescent="0.2">
      <c r="B2" s="149" t="s">
        <v>26</v>
      </c>
      <c r="C2" s="149"/>
      <c r="D2" s="149"/>
      <c r="E2" s="149"/>
      <c r="F2" s="149"/>
      <c r="G2" s="149"/>
    </row>
    <row r="3" spans="2:47" ht="4.9000000000000004" customHeight="1" x14ac:dyDescent="0.2"/>
    <row r="4" spans="2:47" s="38" customFormat="1" ht="20.100000000000001" customHeight="1" x14ac:dyDescent="0.2">
      <c r="B4" s="150" t="s">
        <v>3</v>
      </c>
      <c r="C4" s="123" t="s">
        <v>45</v>
      </c>
      <c r="D4" s="153" t="s">
        <v>46</v>
      </c>
      <c r="E4" s="135" t="s">
        <v>4</v>
      </c>
      <c r="F4" s="129" t="s">
        <v>5</v>
      </c>
      <c r="G4" s="32" t="s">
        <v>0</v>
      </c>
      <c r="H4" s="33">
        <v>1</v>
      </c>
      <c r="I4" s="34">
        <v>2</v>
      </c>
      <c r="J4" s="34">
        <v>3</v>
      </c>
      <c r="K4" s="34">
        <v>4</v>
      </c>
      <c r="L4" s="34">
        <v>5</v>
      </c>
      <c r="M4" s="34">
        <v>6</v>
      </c>
      <c r="N4" s="34">
        <v>7</v>
      </c>
      <c r="O4" s="34">
        <v>8</v>
      </c>
      <c r="P4" s="34">
        <v>9</v>
      </c>
      <c r="Q4" s="34">
        <v>10</v>
      </c>
      <c r="R4" s="34">
        <v>11</v>
      </c>
      <c r="S4" s="34">
        <v>12</v>
      </c>
      <c r="T4" s="34">
        <v>13</v>
      </c>
      <c r="U4" s="34">
        <v>14</v>
      </c>
      <c r="V4" s="34">
        <v>15</v>
      </c>
      <c r="W4" s="34">
        <v>16</v>
      </c>
      <c r="X4" s="34">
        <v>17</v>
      </c>
      <c r="Y4" s="33">
        <v>18</v>
      </c>
      <c r="Z4" s="34">
        <v>19</v>
      </c>
      <c r="AA4" s="34">
        <v>20</v>
      </c>
      <c r="AB4" s="34">
        <v>21</v>
      </c>
      <c r="AC4" s="34">
        <v>22</v>
      </c>
      <c r="AD4" s="34">
        <v>23</v>
      </c>
      <c r="AE4" s="34">
        <v>24</v>
      </c>
      <c r="AF4" s="34">
        <v>25</v>
      </c>
      <c r="AG4" s="34">
        <v>26</v>
      </c>
      <c r="AH4" s="34">
        <v>27</v>
      </c>
      <c r="AI4" s="34">
        <v>28</v>
      </c>
      <c r="AJ4" s="34">
        <v>29</v>
      </c>
      <c r="AK4" s="96">
        <v>30</v>
      </c>
      <c r="AL4" s="34">
        <v>31</v>
      </c>
      <c r="AM4" s="34">
        <v>32</v>
      </c>
      <c r="AN4" s="34">
        <v>33</v>
      </c>
      <c r="AO4" s="34">
        <v>34</v>
      </c>
      <c r="AP4" s="34">
        <v>35</v>
      </c>
      <c r="AQ4" s="34">
        <v>36</v>
      </c>
      <c r="AR4" s="34">
        <v>37</v>
      </c>
      <c r="AS4" s="34">
        <v>38</v>
      </c>
      <c r="AT4" s="34">
        <v>39</v>
      </c>
      <c r="AU4" s="35">
        <v>40</v>
      </c>
    </row>
    <row r="5" spans="2:47" s="38" customFormat="1" ht="20.100000000000001" customHeight="1" x14ac:dyDescent="0.2">
      <c r="B5" s="151"/>
      <c r="C5" s="152"/>
      <c r="D5" s="154"/>
      <c r="E5" s="136"/>
      <c r="F5" s="130"/>
      <c r="G5" s="36" t="s">
        <v>1</v>
      </c>
      <c r="H5" s="37">
        <v>512</v>
      </c>
      <c r="I5" s="37">
        <v>1027</v>
      </c>
      <c r="J5" s="37">
        <v>1203</v>
      </c>
      <c r="K5" s="37">
        <v>1021</v>
      </c>
      <c r="L5" s="37">
        <v>526</v>
      </c>
      <c r="M5" s="37">
        <v>1224</v>
      </c>
      <c r="N5" s="37">
        <v>821</v>
      </c>
      <c r="O5" s="37">
        <v>711</v>
      </c>
      <c r="P5" s="37">
        <v>1603</v>
      </c>
      <c r="Q5" s="37">
        <v>1626</v>
      </c>
      <c r="R5" s="37">
        <v>1723</v>
      </c>
      <c r="S5" s="37">
        <v>509</v>
      </c>
      <c r="T5" s="37">
        <v>1221</v>
      </c>
      <c r="U5" s="37">
        <v>1629</v>
      </c>
      <c r="V5" s="37">
        <v>1618</v>
      </c>
      <c r="W5" s="37">
        <v>501</v>
      </c>
      <c r="X5" s="37">
        <v>706</v>
      </c>
      <c r="Y5" s="37">
        <v>1801</v>
      </c>
      <c r="Z5" s="37">
        <v>620</v>
      </c>
      <c r="AA5" s="37">
        <v>1728</v>
      </c>
      <c r="AB5" s="37"/>
      <c r="AC5" s="37"/>
      <c r="AD5" s="37"/>
      <c r="AE5" s="37"/>
      <c r="AF5" s="37"/>
      <c r="AG5" s="37"/>
      <c r="AH5" s="37"/>
      <c r="AI5" s="37"/>
      <c r="AJ5" s="37"/>
      <c r="AK5" s="94"/>
      <c r="AL5" s="7"/>
      <c r="AM5" s="7"/>
      <c r="AN5" s="7"/>
      <c r="AO5" s="7"/>
      <c r="AP5" s="7"/>
      <c r="AQ5" s="7"/>
      <c r="AR5" s="7"/>
      <c r="AS5" s="7"/>
      <c r="AT5" s="7"/>
      <c r="AU5" s="9"/>
    </row>
    <row r="6" spans="2:47" s="38" customFormat="1" ht="30" customHeight="1" x14ac:dyDescent="0.2">
      <c r="B6" s="77" t="s">
        <v>12</v>
      </c>
      <c r="C6" s="62" t="s">
        <v>67</v>
      </c>
      <c r="D6" s="35"/>
      <c r="E6" s="39">
        <v>6000</v>
      </c>
      <c r="F6" s="12">
        <f>E6*G6</f>
        <v>24000</v>
      </c>
      <c r="G6" s="95">
        <f t="shared" ref="G6:G19" si="0">SUM(H6:AU6)</f>
        <v>4</v>
      </c>
      <c r="H6" s="40">
        <v>1</v>
      </c>
      <c r="I6" s="40"/>
      <c r="J6" s="40"/>
      <c r="K6" s="40">
        <v>1</v>
      </c>
      <c r="L6" s="40"/>
      <c r="M6" s="40"/>
      <c r="N6" s="40">
        <v>1</v>
      </c>
      <c r="O6" s="40"/>
      <c r="P6" s="40"/>
      <c r="Q6" s="40"/>
      <c r="R6" s="40"/>
      <c r="S6" s="40"/>
      <c r="T6" s="40">
        <v>1</v>
      </c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97"/>
      <c r="AL6" s="40"/>
      <c r="AM6" s="40"/>
      <c r="AN6" s="40"/>
      <c r="AO6" s="40"/>
      <c r="AP6" s="40"/>
      <c r="AQ6" s="40"/>
      <c r="AR6" s="40"/>
      <c r="AS6" s="40"/>
      <c r="AT6" s="40"/>
      <c r="AU6" s="41"/>
    </row>
    <row r="7" spans="2:47" s="38" customFormat="1" ht="30" customHeight="1" x14ac:dyDescent="0.2">
      <c r="B7" s="78" t="s">
        <v>13</v>
      </c>
      <c r="C7" s="63" t="s">
        <v>54</v>
      </c>
      <c r="D7" s="64"/>
      <c r="E7" s="42">
        <v>6500</v>
      </c>
      <c r="F7" s="18">
        <f t="shared" ref="F7:F19" si="1">E7*G7</f>
        <v>26000</v>
      </c>
      <c r="G7" s="95">
        <f t="shared" si="0"/>
        <v>4</v>
      </c>
      <c r="H7" s="43"/>
      <c r="I7" s="43"/>
      <c r="J7" s="43"/>
      <c r="K7" s="43">
        <v>1</v>
      </c>
      <c r="L7" s="43"/>
      <c r="M7" s="43"/>
      <c r="N7" s="43">
        <v>1</v>
      </c>
      <c r="O7" s="43"/>
      <c r="P7" s="43"/>
      <c r="Q7" s="43"/>
      <c r="R7" s="43"/>
      <c r="S7" s="43"/>
      <c r="T7" s="43"/>
      <c r="U7" s="43"/>
      <c r="V7" s="43"/>
      <c r="W7" s="43"/>
      <c r="X7" s="43">
        <v>1</v>
      </c>
      <c r="Y7" s="43"/>
      <c r="Z7" s="43"/>
      <c r="AA7" s="43">
        <v>1</v>
      </c>
      <c r="AB7" s="43"/>
      <c r="AC7" s="43"/>
      <c r="AD7" s="43"/>
      <c r="AE7" s="43"/>
      <c r="AF7" s="43"/>
      <c r="AG7" s="43"/>
      <c r="AH7" s="43"/>
      <c r="AI7" s="43"/>
      <c r="AJ7" s="43"/>
      <c r="AK7" s="98"/>
      <c r="AL7" s="43"/>
      <c r="AM7" s="43"/>
      <c r="AN7" s="43"/>
      <c r="AO7" s="43"/>
      <c r="AP7" s="43"/>
      <c r="AQ7" s="43"/>
      <c r="AR7" s="43"/>
      <c r="AS7" s="43"/>
      <c r="AT7" s="43"/>
      <c r="AU7" s="44"/>
    </row>
    <row r="8" spans="2:47" s="38" customFormat="1" ht="30" customHeight="1" x14ac:dyDescent="0.2">
      <c r="B8" s="78" t="s">
        <v>14</v>
      </c>
      <c r="C8" s="63" t="s">
        <v>65</v>
      </c>
      <c r="D8" s="64" t="s">
        <v>71</v>
      </c>
      <c r="E8" s="42">
        <v>7000</v>
      </c>
      <c r="F8" s="18">
        <f t="shared" si="1"/>
        <v>7000</v>
      </c>
      <c r="G8" s="95">
        <f t="shared" si="0"/>
        <v>1</v>
      </c>
      <c r="H8" s="43"/>
      <c r="I8" s="43"/>
      <c r="J8" s="43"/>
      <c r="K8" s="43">
        <v>1</v>
      </c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98"/>
      <c r="AL8" s="43"/>
      <c r="AM8" s="43"/>
      <c r="AN8" s="43"/>
      <c r="AO8" s="43"/>
      <c r="AP8" s="43"/>
      <c r="AQ8" s="43"/>
      <c r="AR8" s="43"/>
      <c r="AS8" s="43"/>
      <c r="AT8" s="43"/>
      <c r="AU8" s="44"/>
    </row>
    <row r="9" spans="2:47" s="38" customFormat="1" ht="30" customHeight="1" x14ac:dyDescent="0.2">
      <c r="B9" s="78" t="s">
        <v>15</v>
      </c>
      <c r="C9" s="63" t="s">
        <v>57</v>
      </c>
      <c r="D9" s="64"/>
      <c r="E9" s="42">
        <v>5500</v>
      </c>
      <c r="F9" s="18">
        <f t="shared" si="1"/>
        <v>82500</v>
      </c>
      <c r="G9" s="95">
        <f t="shared" si="0"/>
        <v>15</v>
      </c>
      <c r="H9" s="43"/>
      <c r="I9" s="43">
        <v>1</v>
      </c>
      <c r="J9" s="43">
        <v>1</v>
      </c>
      <c r="K9" s="43"/>
      <c r="L9" s="43">
        <v>2</v>
      </c>
      <c r="M9" s="43"/>
      <c r="N9" s="43"/>
      <c r="O9" s="43"/>
      <c r="P9" s="43">
        <v>2</v>
      </c>
      <c r="Q9" s="43"/>
      <c r="R9" s="43"/>
      <c r="S9" s="43">
        <v>1</v>
      </c>
      <c r="T9" s="43"/>
      <c r="U9" s="43">
        <v>2</v>
      </c>
      <c r="V9" s="43">
        <v>1</v>
      </c>
      <c r="W9" s="43">
        <v>2</v>
      </c>
      <c r="X9" s="43"/>
      <c r="Y9" s="43">
        <v>2</v>
      </c>
      <c r="Z9" s="43">
        <v>1</v>
      </c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98"/>
      <c r="AL9" s="43"/>
      <c r="AM9" s="43"/>
      <c r="AN9" s="43"/>
      <c r="AO9" s="43"/>
      <c r="AP9" s="43"/>
      <c r="AQ9" s="43"/>
      <c r="AR9" s="43"/>
      <c r="AS9" s="43"/>
      <c r="AT9" s="43"/>
      <c r="AU9" s="44"/>
    </row>
    <row r="10" spans="2:47" s="38" customFormat="1" ht="30" customHeight="1" x14ac:dyDescent="0.2">
      <c r="B10" s="78" t="s">
        <v>16</v>
      </c>
      <c r="C10" s="63" t="s">
        <v>69</v>
      </c>
      <c r="D10" s="64"/>
      <c r="E10" s="42">
        <v>4000</v>
      </c>
      <c r="F10" s="18">
        <f t="shared" si="1"/>
        <v>12000</v>
      </c>
      <c r="G10" s="95">
        <f t="shared" si="0"/>
        <v>3</v>
      </c>
      <c r="H10" s="43"/>
      <c r="I10" s="43"/>
      <c r="J10" s="43"/>
      <c r="K10" s="43"/>
      <c r="L10" s="43">
        <v>1</v>
      </c>
      <c r="M10" s="43"/>
      <c r="N10" s="43"/>
      <c r="O10" s="43">
        <v>1</v>
      </c>
      <c r="P10" s="43"/>
      <c r="Q10" s="43"/>
      <c r="R10" s="43"/>
      <c r="S10" s="43"/>
      <c r="T10" s="43"/>
      <c r="U10" s="43"/>
      <c r="V10" s="43">
        <v>1</v>
      </c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98"/>
      <c r="AL10" s="43"/>
      <c r="AM10" s="43"/>
      <c r="AN10" s="43"/>
      <c r="AO10" s="43"/>
      <c r="AP10" s="43"/>
      <c r="AQ10" s="43"/>
      <c r="AR10" s="43"/>
      <c r="AS10" s="43"/>
      <c r="AT10" s="43"/>
      <c r="AU10" s="44"/>
    </row>
    <row r="11" spans="2:47" s="38" customFormat="1" ht="30" customHeight="1" x14ac:dyDescent="0.2">
      <c r="B11" s="78" t="s">
        <v>17</v>
      </c>
      <c r="C11" s="63" t="s">
        <v>59</v>
      </c>
      <c r="D11" s="64" t="s">
        <v>72</v>
      </c>
      <c r="E11" s="42">
        <v>4000</v>
      </c>
      <c r="F11" s="18">
        <f t="shared" si="1"/>
        <v>16000</v>
      </c>
      <c r="G11" s="95">
        <f t="shared" si="0"/>
        <v>4</v>
      </c>
      <c r="H11" s="43"/>
      <c r="I11" s="43"/>
      <c r="J11" s="43"/>
      <c r="K11" s="43"/>
      <c r="L11" s="43">
        <v>1</v>
      </c>
      <c r="M11" s="43">
        <v>1</v>
      </c>
      <c r="N11" s="43"/>
      <c r="O11" s="43">
        <v>1</v>
      </c>
      <c r="P11" s="43"/>
      <c r="Q11" s="43"/>
      <c r="R11" s="43"/>
      <c r="S11" s="43"/>
      <c r="T11" s="43"/>
      <c r="U11" s="43"/>
      <c r="V11" s="43"/>
      <c r="W11" s="43"/>
      <c r="X11" s="43"/>
      <c r="Y11" s="43">
        <v>1</v>
      </c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98"/>
      <c r="AL11" s="43"/>
      <c r="AM11" s="43"/>
      <c r="AN11" s="43"/>
      <c r="AO11" s="43"/>
      <c r="AP11" s="43"/>
      <c r="AQ11" s="43"/>
      <c r="AR11" s="43"/>
      <c r="AS11" s="43"/>
      <c r="AT11" s="43"/>
      <c r="AU11" s="44"/>
    </row>
    <row r="12" spans="2:47" s="38" customFormat="1" ht="30" customHeight="1" x14ac:dyDescent="0.2">
      <c r="B12" s="78" t="s">
        <v>18</v>
      </c>
      <c r="C12" s="63" t="s">
        <v>60</v>
      </c>
      <c r="D12" s="64" t="s">
        <v>73</v>
      </c>
      <c r="E12" s="42">
        <v>4000</v>
      </c>
      <c r="F12" s="18">
        <f t="shared" si="1"/>
        <v>4000</v>
      </c>
      <c r="G12" s="95">
        <f t="shared" si="0"/>
        <v>1</v>
      </c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>
        <v>1</v>
      </c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98"/>
      <c r="AL12" s="43"/>
      <c r="AM12" s="43"/>
      <c r="AN12" s="43"/>
      <c r="AO12" s="43"/>
      <c r="AP12" s="43"/>
      <c r="AQ12" s="43"/>
      <c r="AR12" s="43"/>
      <c r="AS12" s="43"/>
      <c r="AT12" s="43"/>
      <c r="AU12" s="44"/>
    </row>
    <row r="13" spans="2:47" s="38" customFormat="1" ht="30" customHeight="1" x14ac:dyDescent="0.2">
      <c r="B13" s="78" t="s">
        <v>19</v>
      </c>
      <c r="C13" s="63" t="s">
        <v>59</v>
      </c>
      <c r="D13" s="64"/>
      <c r="E13" s="42">
        <v>5000</v>
      </c>
      <c r="F13" s="18">
        <f t="shared" si="1"/>
        <v>0</v>
      </c>
      <c r="G13" s="95">
        <f t="shared" si="0"/>
        <v>0</v>
      </c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99"/>
      <c r="AL13" s="43"/>
      <c r="AM13" s="43"/>
      <c r="AN13" s="43"/>
      <c r="AO13" s="43"/>
      <c r="AP13" s="43"/>
      <c r="AQ13" s="43"/>
      <c r="AR13" s="43"/>
      <c r="AS13" s="43"/>
      <c r="AT13" s="43"/>
      <c r="AU13" s="44"/>
    </row>
    <row r="14" spans="2:47" s="38" customFormat="1" ht="30" customHeight="1" x14ac:dyDescent="0.2">
      <c r="B14" s="78" t="s">
        <v>20</v>
      </c>
      <c r="C14" s="63" t="s">
        <v>53</v>
      </c>
      <c r="D14" s="64" t="s">
        <v>66</v>
      </c>
      <c r="E14" s="42">
        <v>7000</v>
      </c>
      <c r="F14" s="18">
        <f t="shared" si="1"/>
        <v>21000</v>
      </c>
      <c r="G14" s="95">
        <f t="shared" si="0"/>
        <v>3</v>
      </c>
      <c r="H14" s="43"/>
      <c r="I14" s="43"/>
      <c r="J14" s="43"/>
      <c r="K14" s="43"/>
      <c r="L14" s="43"/>
      <c r="M14" s="43"/>
      <c r="N14" s="43"/>
      <c r="O14" s="43"/>
      <c r="P14" s="43"/>
      <c r="Q14" s="43">
        <v>1</v>
      </c>
      <c r="R14" s="43">
        <v>1</v>
      </c>
      <c r="S14" s="43"/>
      <c r="T14" s="43"/>
      <c r="U14" s="43"/>
      <c r="V14" s="43">
        <v>1</v>
      </c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98"/>
      <c r="AL14" s="43"/>
      <c r="AM14" s="43"/>
      <c r="AN14" s="43"/>
      <c r="AO14" s="43"/>
      <c r="AP14" s="43"/>
      <c r="AQ14" s="43"/>
      <c r="AR14" s="43"/>
      <c r="AS14" s="43"/>
      <c r="AT14" s="43"/>
      <c r="AU14" s="44"/>
    </row>
    <row r="15" spans="2:47" s="38" customFormat="1" ht="30" customHeight="1" x14ac:dyDescent="0.2">
      <c r="B15" s="78" t="s">
        <v>21</v>
      </c>
      <c r="C15" s="63" t="s">
        <v>66</v>
      </c>
      <c r="D15" s="64"/>
      <c r="E15" s="42">
        <v>7000</v>
      </c>
      <c r="F15" s="18">
        <f t="shared" si="1"/>
        <v>21000</v>
      </c>
      <c r="G15" s="95">
        <f t="shared" si="0"/>
        <v>3</v>
      </c>
      <c r="H15" s="43"/>
      <c r="I15" s="43"/>
      <c r="J15" s="43"/>
      <c r="K15" s="43"/>
      <c r="L15" s="43"/>
      <c r="M15" s="43"/>
      <c r="N15" s="43"/>
      <c r="O15" s="43"/>
      <c r="P15" s="43"/>
      <c r="Q15" s="43">
        <v>1</v>
      </c>
      <c r="R15" s="43">
        <v>1</v>
      </c>
      <c r="S15" s="43"/>
      <c r="T15" s="43"/>
      <c r="U15" s="43"/>
      <c r="V15" s="43">
        <v>1</v>
      </c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98"/>
      <c r="AL15" s="43"/>
      <c r="AM15" s="43"/>
      <c r="AN15" s="43"/>
      <c r="AO15" s="43"/>
      <c r="AP15" s="43"/>
      <c r="AQ15" s="43"/>
      <c r="AR15" s="43"/>
      <c r="AS15" s="43"/>
      <c r="AT15" s="43"/>
      <c r="AU15" s="44"/>
    </row>
    <row r="16" spans="2:47" s="38" customFormat="1" ht="30" customHeight="1" x14ac:dyDescent="0.2">
      <c r="B16" s="78" t="s">
        <v>22</v>
      </c>
      <c r="C16" s="63"/>
      <c r="D16" s="64"/>
      <c r="E16" s="42">
        <v>7000</v>
      </c>
      <c r="F16" s="18">
        <f t="shared" si="1"/>
        <v>0</v>
      </c>
      <c r="G16" s="95">
        <f t="shared" si="0"/>
        <v>0</v>
      </c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98"/>
      <c r="AL16" s="43"/>
      <c r="AM16" s="43"/>
      <c r="AN16" s="43"/>
      <c r="AO16" s="43"/>
      <c r="AP16" s="43"/>
      <c r="AQ16" s="43"/>
      <c r="AR16" s="43"/>
      <c r="AS16" s="43"/>
      <c r="AT16" s="43"/>
      <c r="AU16" s="44"/>
    </row>
    <row r="17" spans="2:47" s="38" customFormat="1" ht="30" customHeight="1" x14ac:dyDescent="0.2">
      <c r="B17" s="78" t="s">
        <v>23</v>
      </c>
      <c r="C17" s="63"/>
      <c r="D17" s="64"/>
      <c r="E17" s="42">
        <v>7000</v>
      </c>
      <c r="F17" s="18">
        <f t="shared" si="1"/>
        <v>0</v>
      </c>
      <c r="G17" s="95">
        <f t="shared" si="0"/>
        <v>0</v>
      </c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98"/>
      <c r="AL17" s="43"/>
      <c r="AM17" s="43"/>
      <c r="AN17" s="43"/>
      <c r="AO17" s="43"/>
      <c r="AP17" s="43"/>
      <c r="AQ17" s="43"/>
      <c r="AR17" s="43"/>
      <c r="AS17" s="43"/>
      <c r="AT17" s="43"/>
      <c r="AU17" s="44"/>
    </row>
    <row r="18" spans="2:47" s="38" customFormat="1" ht="30" customHeight="1" x14ac:dyDescent="0.2">
      <c r="B18" s="78" t="s">
        <v>24</v>
      </c>
      <c r="C18" s="63"/>
      <c r="D18" s="64"/>
      <c r="E18" s="42">
        <v>7000</v>
      </c>
      <c r="F18" s="18">
        <f t="shared" si="1"/>
        <v>0</v>
      </c>
      <c r="G18" s="95">
        <f t="shared" si="0"/>
        <v>0</v>
      </c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99"/>
      <c r="AL18" s="43"/>
      <c r="AM18" s="43"/>
      <c r="AN18" s="43"/>
      <c r="AO18" s="43"/>
      <c r="AP18" s="43"/>
      <c r="AQ18" s="43"/>
      <c r="AR18" s="43"/>
      <c r="AS18" s="43"/>
      <c r="AT18" s="43"/>
      <c r="AU18" s="44"/>
    </row>
    <row r="19" spans="2:47" s="38" customFormat="1" ht="30" customHeight="1" x14ac:dyDescent="0.2">
      <c r="B19" s="79" t="s">
        <v>25</v>
      </c>
      <c r="C19" s="65"/>
      <c r="D19" s="9"/>
      <c r="E19" s="61">
        <v>7000</v>
      </c>
      <c r="F19" s="50">
        <f t="shared" si="1"/>
        <v>0</v>
      </c>
      <c r="G19" s="95">
        <f t="shared" si="0"/>
        <v>0</v>
      </c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98"/>
      <c r="AL19" s="45"/>
      <c r="AM19" s="45"/>
      <c r="AN19" s="45"/>
      <c r="AO19" s="45"/>
      <c r="AP19" s="45"/>
      <c r="AQ19" s="45"/>
      <c r="AR19" s="45"/>
      <c r="AS19" s="45"/>
      <c r="AT19" s="45"/>
      <c r="AU19" s="60"/>
    </row>
    <row r="20" spans="2:47" s="38" customFormat="1" ht="20.100000000000001" customHeight="1" x14ac:dyDescent="0.2">
      <c r="B20" s="139" t="s">
        <v>8</v>
      </c>
      <c r="C20" s="140"/>
      <c r="D20" s="144"/>
      <c r="E20" s="146">
        <f>SUM(E6:E8,E10:E15)+E9*2</f>
        <v>61500</v>
      </c>
      <c r="F20" s="125">
        <f t="shared" ref="F20:X20" si="2">SUM(F6:F19)</f>
        <v>213500</v>
      </c>
      <c r="G20" s="125">
        <f t="shared" si="2"/>
        <v>38</v>
      </c>
      <c r="H20" s="23">
        <f t="shared" si="2"/>
        <v>1</v>
      </c>
      <c r="I20" s="23">
        <f t="shared" si="2"/>
        <v>1</v>
      </c>
      <c r="J20" s="23">
        <f t="shared" si="2"/>
        <v>1</v>
      </c>
      <c r="K20" s="23">
        <f t="shared" si="2"/>
        <v>3</v>
      </c>
      <c r="L20" s="23">
        <f t="shared" si="2"/>
        <v>4</v>
      </c>
      <c r="M20" s="23">
        <f t="shared" si="2"/>
        <v>1</v>
      </c>
      <c r="N20" s="23">
        <f t="shared" si="2"/>
        <v>2</v>
      </c>
      <c r="O20" s="23">
        <f t="shared" si="2"/>
        <v>2</v>
      </c>
      <c r="P20" s="23">
        <f t="shared" si="2"/>
        <v>2</v>
      </c>
      <c r="Q20" s="23">
        <f t="shared" si="2"/>
        <v>2</v>
      </c>
      <c r="R20" s="23">
        <f t="shared" si="2"/>
        <v>2</v>
      </c>
      <c r="S20" s="23">
        <f t="shared" si="2"/>
        <v>1</v>
      </c>
      <c r="T20" s="23">
        <f t="shared" si="2"/>
        <v>1</v>
      </c>
      <c r="U20" s="23">
        <f t="shared" si="2"/>
        <v>2</v>
      </c>
      <c r="V20" s="23">
        <f t="shared" si="2"/>
        <v>5</v>
      </c>
      <c r="W20" s="23">
        <f t="shared" si="2"/>
        <v>2</v>
      </c>
      <c r="X20" s="23">
        <f t="shared" si="2"/>
        <v>1</v>
      </c>
      <c r="Y20" s="23">
        <f t="shared" ref="Y20:AH20" si="3">SUM(Y6:Y19)</f>
        <v>3</v>
      </c>
      <c r="Z20" s="23">
        <f t="shared" si="3"/>
        <v>1</v>
      </c>
      <c r="AA20" s="23">
        <f t="shared" si="3"/>
        <v>1</v>
      </c>
      <c r="AB20" s="23">
        <f t="shared" si="3"/>
        <v>0</v>
      </c>
      <c r="AC20" s="23">
        <f t="shared" si="3"/>
        <v>0</v>
      </c>
      <c r="AD20" s="23">
        <f t="shared" si="3"/>
        <v>0</v>
      </c>
      <c r="AE20" s="23">
        <f t="shared" si="3"/>
        <v>0</v>
      </c>
      <c r="AF20" s="23">
        <f t="shared" si="3"/>
        <v>0</v>
      </c>
      <c r="AG20" s="23">
        <f t="shared" si="3"/>
        <v>0</v>
      </c>
      <c r="AH20" s="23">
        <f t="shared" si="3"/>
        <v>0</v>
      </c>
      <c r="AI20" s="23">
        <f>SUM(AI6:AI19)</f>
        <v>0</v>
      </c>
      <c r="AJ20" s="23">
        <f>SUM(AJ6:AJ19)</f>
        <v>0</v>
      </c>
      <c r="AK20" s="100">
        <f>SUM(AK6:AK19)</f>
        <v>0</v>
      </c>
      <c r="AL20" s="101">
        <f>SUM(AL6:AL19)</f>
        <v>0</v>
      </c>
      <c r="AM20" s="101">
        <f t="shared" ref="AM20:AU20" si="4">SUM(AM6:AM19)</f>
        <v>0</v>
      </c>
      <c r="AN20" s="101">
        <f t="shared" si="4"/>
        <v>0</v>
      </c>
      <c r="AO20" s="101">
        <f t="shared" si="4"/>
        <v>0</v>
      </c>
      <c r="AP20" s="101">
        <f t="shared" si="4"/>
        <v>0</v>
      </c>
      <c r="AQ20" s="101">
        <f t="shared" si="4"/>
        <v>0</v>
      </c>
      <c r="AR20" s="101">
        <f t="shared" si="4"/>
        <v>0</v>
      </c>
      <c r="AS20" s="101">
        <f t="shared" si="4"/>
        <v>0</v>
      </c>
      <c r="AT20" s="101">
        <f t="shared" si="4"/>
        <v>0</v>
      </c>
      <c r="AU20" s="102">
        <f t="shared" si="4"/>
        <v>0</v>
      </c>
    </row>
    <row r="21" spans="2:47" s="38" customFormat="1" ht="20.100000000000001" customHeight="1" x14ac:dyDescent="0.2">
      <c r="B21" s="141"/>
      <c r="C21" s="142"/>
      <c r="D21" s="145"/>
      <c r="E21" s="147"/>
      <c r="F21" s="126"/>
      <c r="G21" s="126"/>
      <c r="H21" s="46">
        <f>$E6*H6+$E7*H7+$E8*H8+$E9*H9+$E10*H10+$E11*H11+$E12*H12+$E14*H14+$E15*H15+$E16*H16+$E17*H17+$E18*H18+$E19*H19+$E13*H13</f>
        <v>6000</v>
      </c>
      <c r="I21" s="28">
        <f t="shared" ref="I21:AK21" si="5">$E6*I6+$E7*I7+$E8*I8+$E9*I9+$E10*I10+$E11*I11+$E12*I12+$E14*I14+$E15*I15+$E16*I16+$E17*I17+$E18*I18+$E19*I19+$E13*I13</f>
        <v>5500</v>
      </c>
      <c r="J21" s="28">
        <f t="shared" si="5"/>
        <v>5500</v>
      </c>
      <c r="K21" s="28">
        <f t="shared" si="5"/>
        <v>19500</v>
      </c>
      <c r="L21" s="28">
        <f t="shared" si="5"/>
        <v>19000</v>
      </c>
      <c r="M21" s="28">
        <f t="shared" si="5"/>
        <v>4000</v>
      </c>
      <c r="N21" s="28">
        <f t="shared" si="5"/>
        <v>12500</v>
      </c>
      <c r="O21" s="28">
        <f t="shared" si="5"/>
        <v>8000</v>
      </c>
      <c r="P21" s="28">
        <f t="shared" si="5"/>
        <v>11000</v>
      </c>
      <c r="Q21" s="28">
        <f t="shared" si="5"/>
        <v>14000</v>
      </c>
      <c r="R21" s="28">
        <f t="shared" si="5"/>
        <v>14000</v>
      </c>
      <c r="S21" s="28">
        <f t="shared" si="5"/>
        <v>5500</v>
      </c>
      <c r="T21" s="28">
        <f t="shared" si="5"/>
        <v>6000</v>
      </c>
      <c r="U21" s="28">
        <f t="shared" si="5"/>
        <v>11000</v>
      </c>
      <c r="V21" s="28">
        <f t="shared" si="5"/>
        <v>27500</v>
      </c>
      <c r="W21" s="28">
        <f t="shared" si="5"/>
        <v>11000</v>
      </c>
      <c r="X21" s="28">
        <f t="shared" si="5"/>
        <v>6500</v>
      </c>
      <c r="Y21" s="28">
        <f t="shared" si="5"/>
        <v>15000</v>
      </c>
      <c r="Z21" s="28">
        <f t="shared" si="5"/>
        <v>5500</v>
      </c>
      <c r="AA21" s="28">
        <f t="shared" si="5"/>
        <v>6500</v>
      </c>
      <c r="AB21" s="28">
        <f t="shared" si="5"/>
        <v>0</v>
      </c>
      <c r="AC21" s="28">
        <f t="shared" si="5"/>
        <v>0</v>
      </c>
      <c r="AD21" s="28">
        <f t="shared" si="5"/>
        <v>0</v>
      </c>
      <c r="AE21" s="28">
        <f t="shared" si="5"/>
        <v>0</v>
      </c>
      <c r="AF21" s="28">
        <f t="shared" si="5"/>
        <v>0</v>
      </c>
      <c r="AG21" s="28">
        <f t="shared" si="5"/>
        <v>0</v>
      </c>
      <c r="AH21" s="28">
        <f t="shared" si="5"/>
        <v>0</v>
      </c>
      <c r="AI21" s="28">
        <f t="shared" si="5"/>
        <v>0</v>
      </c>
      <c r="AJ21" s="28">
        <f t="shared" si="5"/>
        <v>0</v>
      </c>
      <c r="AK21" s="74">
        <f t="shared" si="5"/>
        <v>0</v>
      </c>
      <c r="AL21" s="28">
        <f>$E6*AL6+$E7*AL7+$E8*AL8+$E9*AL9+$E10*AL10+$E11*AL11+$E12*AL12+$E14*AL14+$E15*AL15+$E16*AL16+$E17*AL17+$E18*AL18+$E19*AL19+$E13*AL13</f>
        <v>0</v>
      </c>
      <c r="AM21" s="28">
        <f>$E6*AM6+$E7*AM7+$E8*AM8+$E9*AM9+$E10*AM10+$E11*AM11+$E12*AM12+$E14*AM14+$E15*AM15+$E16*AM16+$E17*AM17+$E18*AM18+$E19*AM19+$E13*AM13</f>
        <v>0</v>
      </c>
      <c r="AN21" s="28">
        <f>$E6*AN6+$E7*AN7+$E8*AN8+$E9*AN9+$E10*AN10+$E11*AN11+$E12*AN12+$E14*AN14+$E15*AN15+$E16*AN16+$E17*AN17+$E18*AN18+$E19*AN19+$E13*AN13</f>
        <v>0</v>
      </c>
      <c r="AO21" s="28">
        <f t="shared" ref="AO21:AU21" si="6">$E6*AO6+$E7*AO7+$E8*AO8+$E9*AO9+$E10*AO10+$E11*AO11+$E12*AO12+$E14*AO14+$E15*AO15+$E16*AO16+$E17*AO17+$E18*AO18+$E19*AO19+$E13*AO13</f>
        <v>0</v>
      </c>
      <c r="AP21" s="28">
        <f t="shared" si="6"/>
        <v>0</v>
      </c>
      <c r="AQ21" s="28">
        <f t="shared" si="6"/>
        <v>0</v>
      </c>
      <c r="AR21" s="28">
        <f t="shared" si="6"/>
        <v>0</v>
      </c>
      <c r="AS21" s="28">
        <f t="shared" si="6"/>
        <v>0</v>
      </c>
      <c r="AT21" s="28">
        <f t="shared" si="6"/>
        <v>0</v>
      </c>
      <c r="AU21" s="29">
        <f t="shared" si="6"/>
        <v>0</v>
      </c>
    </row>
  </sheetData>
  <sheetProtection password="CC67" sheet="1" objects="1" scenarios="1"/>
  <mergeCells count="10">
    <mergeCell ref="B20:D21"/>
    <mergeCell ref="E20:E21"/>
    <mergeCell ref="F20:F21"/>
    <mergeCell ref="G20:G21"/>
    <mergeCell ref="B2:G2"/>
    <mergeCell ref="B4:B5"/>
    <mergeCell ref="C4:C5"/>
    <mergeCell ref="D4:D5"/>
    <mergeCell ref="E4:E5"/>
    <mergeCell ref="F4:F5"/>
  </mergeCells>
  <phoneticPr fontId="2" type="noConversion"/>
  <pageMargins left="0.7" right="0.7" top="0.75" bottom="0.75" header="0.3" footer="0.3"/>
  <pageSetup paperSize="9" scale="31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B1:AU21"/>
  <sheetViews>
    <sheetView showGridLines="0" zoomScale="85" zoomScaleNormal="85" workbookViewId="0">
      <pane xSplit="7" ySplit="5" topLeftCell="J6" activePane="bottomRight" state="frozen"/>
      <selection pane="topRight" activeCell="G1" sqref="G1"/>
      <selection pane="bottomLeft" activeCell="A6" sqref="A6"/>
      <selection pane="bottomRight" activeCell="C6" sqref="C6:D15"/>
    </sheetView>
  </sheetViews>
  <sheetFormatPr defaultColWidth="9.125" defaultRowHeight="14.25" x14ac:dyDescent="0.2"/>
  <cols>
    <col min="1" max="1" width="0.375" style="1" customWidth="1"/>
    <col min="2" max="2" width="16.875" style="1" bestFit="1" customWidth="1"/>
    <col min="3" max="4" width="13.625" style="1" customWidth="1"/>
    <col min="5" max="5" width="10.625" style="1" hidden="1" customWidth="1"/>
    <col min="6" max="6" width="10.625" style="1" customWidth="1"/>
    <col min="7" max="7" width="10.625" style="3" customWidth="1"/>
    <col min="8" max="22" width="10.625" style="4" customWidth="1"/>
    <col min="23" max="47" width="10.625" style="1" customWidth="1"/>
    <col min="48" max="16384" width="9.125" style="1"/>
  </cols>
  <sheetData>
    <row r="1" spans="2:47" ht="3.75" customHeight="1" x14ac:dyDescent="0.2"/>
    <row r="2" spans="2:47" ht="20.25" x14ac:dyDescent="0.2">
      <c r="B2" s="149" t="s">
        <v>26</v>
      </c>
      <c r="C2" s="149"/>
      <c r="D2" s="149"/>
      <c r="E2" s="149"/>
      <c r="F2" s="149"/>
      <c r="G2" s="149"/>
    </row>
    <row r="3" spans="2:47" ht="4.9000000000000004" customHeight="1" x14ac:dyDescent="0.2"/>
    <row r="4" spans="2:47" s="38" customFormat="1" ht="20.100000000000001" customHeight="1" x14ac:dyDescent="0.2">
      <c r="B4" s="150" t="s">
        <v>3</v>
      </c>
      <c r="C4" s="123" t="s">
        <v>45</v>
      </c>
      <c r="D4" s="153" t="s">
        <v>46</v>
      </c>
      <c r="E4" s="135" t="s">
        <v>4</v>
      </c>
      <c r="F4" s="129" t="s">
        <v>5</v>
      </c>
      <c r="G4" s="32" t="s">
        <v>0</v>
      </c>
      <c r="H4" s="33">
        <v>1</v>
      </c>
      <c r="I4" s="34">
        <v>2</v>
      </c>
      <c r="J4" s="34">
        <v>3</v>
      </c>
      <c r="K4" s="34">
        <v>4</v>
      </c>
      <c r="L4" s="34">
        <v>5</v>
      </c>
      <c r="M4" s="34">
        <v>6</v>
      </c>
      <c r="N4" s="34">
        <v>7</v>
      </c>
      <c r="O4" s="34">
        <v>8</v>
      </c>
      <c r="P4" s="34">
        <v>9</v>
      </c>
      <c r="Q4" s="34">
        <v>10</v>
      </c>
      <c r="R4" s="34">
        <v>11</v>
      </c>
      <c r="S4" s="34">
        <v>12</v>
      </c>
      <c r="T4" s="34">
        <v>13</v>
      </c>
      <c r="U4" s="34">
        <v>14</v>
      </c>
      <c r="V4" s="34">
        <v>15</v>
      </c>
      <c r="W4" s="34">
        <v>16</v>
      </c>
      <c r="X4" s="34">
        <v>17</v>
      </c>
      <c r="Y4" s="33">
        <v>18</v>
      </c>
      <c r="Z4" s="34">
        <v>19</v>
      </c>
      <c r="AA4" s="34">
        <v>20</v>
      </c>
      <c r="AB4" s="34">
        <v>21</v>
      </c>
      <c r="AC4" s="34">
        <v>22</v>
      </c>
      <c r="AD4" s="34">
        <v>23</v>
      </c>
      <c r="AE4" s="34">
        <v>24</v>
      </c>
      <c r="AF4" s="34">
        <v>25</v>
      </c>
      <c r="AG4" s="34">
        <v>26</v>
      </c>
      <c r="AH4" s="34">
        <v>27</v>
      </c>
      <c r="AI4" s="34">
        <v>28</v>
      </c>
      <c r="AJ4" s="34">
        <v>29</v>
      </c>
      <c r="AK4" s="96">
        <v>30</v>
      </c>
      <c r="AL4" s="34">
        <v>31</v>
      </c>
      <c r="AM4" s="34">
        <v>32</v>
      </c>
      <c r="AN4" s="34">
        <v>33</v>
      </c>
      <c r="AO4" s="34">
        <v>34</v>
      </c>
      <c r="AP4" s="34">
        <v>35</v>
      </c>
      <c r="AQ4" s="34">
        <v>36</v>
      </c>
      <c r="AR4" s="34">
        <v>37</v>
      </c>
      <c r="AS4" s="34">
        <v>38</v>
      </c>
      <c r="AT4" s="34">
        <v>39</v>
      </c>
      <c r="AU4" s="35">
        <v>40</v>
      </c>
    </row>
    <row r="5" spans="2:47" s="38" customFormat="1" ht="20.100000000000001" customHeight="1" x14ac:dyDescent="0.2">
      <c r="B5" s="151"/>
      <c r="C5" s="152"/>
      <c r="D5" s="154"/>
      <c r="E5" s="136"/>
      <c r="F5" s="130"/>
      <c r="G5" s="36" t="s">
        <v>1</v>
      </c>
      <c r="H5" s="37">
        <v>609</v>
      </c>
      <c r="I5" s="37">
        <v>707</v>
      </c>
      <c r="J5" s="37">
        <v>1018</v>
      </c>
      <c r="K5" s="37">
        <v>1615</v>
      </c>
      <c r="L5" s="37">
        <v>825</v>
      </c>
      <c r="M5" s="37">
        <v>506</v>
      </c>
      <c r="N5" s="37">
        <v>1416</v>
      </c>
      <c r="O5" s="37">
        <v>1101</v>
      </c>
      <c r="P5" s="37">
        <v>826</v>
      </c>
      <c r="Q5" s="37">
        <v>922</v>
      </c>
      <c r="R5" s="37">
        <v>701</v>
      </c>
      <c r="S5" s="37">
        <v>1619</v>
      </c>
      <c r="T5" s="37">
        <v>818</v>
      </c>
      <c r="U5" s="37">
        <v>1628</v>
      </c>
      <c r="V5" s="37">
        <v>1124</v>
      </c>
      <c r="W5" s="37">
        <v>1202</v>
      </c>
      <c r="X5" s="37">
        <v>1529</v>
      </c>
      <c r="Y5" s="37">
        <v>1224</v>
      </c>
      <c r="Z5" s="37">
        <v>1723</v>
      </c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94"/>
      <c r="AL5" s="7"/>
      <c r="AM5" s="7"/>
      <c r="AN5" s="7"/>
      <c r="AO5" s="7"/>
      <c r="AP5" s="7"/>
      <c r="AQ5" s="7"/>
      <c r="AR5" s="7"/>
      <c r="AS5" s="7"/>
      <c r="AT5" s="7"/>
      <c r="AU5" s="9"/>
    </row>
    <row r="6" spans="2:47" s="38" customFormat="1" ht="30" customHeight="1" x14ac:dyDescent="0.2">
      <c r="B6" s="77" t="s">
        <v>12</v>
      </c>
      <c r="C6" s="62" t="s">
        <v>67</v>
      </c>
      <c r="D6" s="35"/>
      <c r="E6" s="39">
        <v>6000</v>
      </c>
      <c r="F6" s="12">
        <f>E6*G6</f>
        <v>30000</v>
      </c>
      <c r="G6" s="95">
        <f t="shared" ref="G6:G19" si="0">SUM(H6:AU6)</f>
        <v>5</v>
      </c>
      <c r="H6" s="40"/>
      <c r="I6" s="40"/>
      <c r="J6" s="40"/>
      <c r="K6" s="40"/>
      <c r="L6" s="40"/>
      <c r="M6" s="40">
        <v>1</v>
      </c>
      <c r="N6" s="40"/>
      <c r="O6" s="40">
        <v>1</v>
      </c>
      <c r="P6" s="40">
        <v>1</v>
      </c>
      <c r="Q6" s="40"/>
      <c r="R6" s="40"/>
      <c r="S6" s="40"/>
      <c r="T6" s="40">
        <v>1</v>
      </c>
      <c r="U6" s="40"/>
      <c r="V6" s="40"/>
      <c r="W6" s="40"/>
      <c r="X6" s="40"/>
      <c r="Y6" s="40">
        <v>1</v>
      </c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97"/>
      <c r="AL6" s="40"/>
      <c r="AM6" s="40"/>
      <c r="AN6" s="40"/>
      <c r="AO6" s="40"/>
      <c r="AP6" s="40"/>
      <c r="AQ6" s="40"/>
      <c r="AR6" s="40"/>
      <c r="AS6" s="40"/>
      <c r="AT6" s="40"/>
      <c r="AU6" s="41"/>
    </row>
    <row r="7" spans="2:47" s="38" customFormat="1" ht="30" customHeight="1" x14ac:dyDescent="0.2">
      <c r="B7" s="78" t="s">
        <v>13</v>
      </c>
      <c r="C7" s="63" t="s">
        <v>54</v>
      </c>
      <c r="D7" s="64"/>
      <c r="E7" s="42">
        <v>6500</v>
      </c>
      <c r="F7" s="18">
        <f t="shared" ref="F7:F19" si="1">E7*G7</f>
        <v>13000</v>
      </c>
      <c r="G7" s="95">
        <f t="shared" si="0"/>
        <v>2</v>
      </c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>
        <v>1</v>
      </c>
      <c r="X7" s="43">
        <v>1</v>
      </c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98"/>
      <c r="AL7" s="43"/>
      <c r="AM7" s="43"/>
      <c r="AN7" s="43"/>
      <c r="AO7" s="43"/>
      <c r="AP7" s="43"/>
      <c r="AQ7" s="43"/>
      <c r="AR7" s="43"/>
      <c r="AS7" s="43"/>
      <c r="AT7" s="43"/>
      <c r="AU7" s="44"/>
    </row>
    <row r="8" spans="2:47" s="38" customFormat="1" ht="30" customHeight="1" x14ac:dyDescent="0.2">
      <c r="B8" s="78" t="s">
        <v>14</v>
      </c>
      <c r="C8" s="63" t="s">
        <v>65</v>
      </c>
      <c r="D8" s="64" t="s">
        <v>71</v>
      </c>
      <c r="E8" s="42">
        <v>7000</v>
      </c>
      <c r="F8" s="18">
        <f t="shared" si="1"/>
        <v>7000</v>
      </c>
      <c r="G8" s="95">
        <f t="shared" si="0"/>
        <v>1</v>
      </c>
      <c r="H8" s="43"/>
      <c r="I8" s="43">
        <v>1</v>
      </c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98"/>
      <c r="AL8" s="43"/>
      <c r="AM8" s="43"/>
      <c r="AN8" s="43"/>
      <c r="AO8" s="43"/>
      <c r="AP8" s="43"/>
      <c r="AQ8" s="43"/>
      <c r="AR8" s="43"/>
      <c r="AS8" s="43"/>
      <c r="AT8" s="43"/>
      <c r="AU8" s="44"/>
    </row>
    <row r="9" spans="2:47" s="38" customFormat="1" ht="30" customHeight="1" x14ac:dyDescent="0.2">
      <c r="B9" s="78" t="s">
        <v>15</v>
      </c>
      <c r="C9" s="63" t="s">
        <v>57</v>
      </c>
      <c r="D9" s="64"/>
      <c r="E9" s="42">
        <v>5500</v>
      </c>
      <c r="F9" s="18">
        <f t="shared" si="1"/>
        <v>33000</v>
      </c>
      <c r="G9" s="95">
        <f t="shared" si="0"/>
        <v>6</v>
      </c>
      <c r="H9" s="43">
        <v>1</v>
      </c>
      <c r="I9" s="43"/>
      <c r="J9" s="43">
        <v>1</v>
      </c>
      <c r="K9" s="43">
        <v>1</v>
      </c>
      <c r="L9" s="43">
        <v>1</v>
      </c>
      <c r="M9" s="43"/>
      <c r="N9" s="43"/>
      <c r="O9" s="43"/>
      <c r="P9" s="43"/>
      <c r="Q9" s="43">
        <v>1</v>
      </c>
      <c r="R9" s="43"/>
      <c r="S9" s="43"/>
      <c r="T9" s="43">
        <v>1</v>
      </c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98"/>
      <c r="AL9" s="43"/>
      <c r="AM9" s="43"/>
      <c r="AN9" s="43"/>
      <c r="AO9" s="43"/>
      <c r="AP9" s="43"/>
      <c r="AQ9" s="43"/>
      <c r="AR9" s="43"/>
      <c r="AS9" s="43"/>
      <c r="AT9" s="43"/>
      <c r="AU9" s="44"/>
    </row>
    <row r="10" spans="2:47" s="38" customFormat="1" ht="30" customHeight="1" x14ac:dyDescent="0.2">
      <c r="B10" s="78" t="s">
        <v>16</v>
      </c>
      <c r="C10" s="63" t="s">
        <v>69</v>
      </c>
      <c r="D10" s="64"/>
      <c r="E10" s="42">
        <v>4000</v>
      </c>
      <c r="F10" s="18">
        <f t="shared" si="1"/>
        <v>8000</v>
      </c>
      <c r="G10" s="95">
        <f t="shared" si="0"/>
        <v>2</v>
      </c>
      <c r="H10" s="43"/>
      <c r="I10" s="43"/>
      <c r="J10" s="43">
        <v>1</v>
      </c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>
        <v>1</v>
      </c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98"/>
      <c r="AL10" s="43"/>
      <c r="AM10" s="43"/>
      <c r="AN10" s="43"/>
      <c r="AO10" s="43"/>
      <c r="AP10" s="43"/>
      <c r="AQ10" s="43"/>
      <c r="AR10" s="43"/>
      <c r="AS10" s="43"/>
      <c r="AT10" s="43"/>
      <c r="AU10" s="44"/>
    </row>
    <row r="11" spans="2:47" s="38" customFormat="1" ht="30" customHeight="1" x14ac:dyDescent="0.2">
      <c r="B11" s="78" t="s">
        <v>17</v>
      </c>
      <c r="C11" s="63" t="s">
        <v>59</v>
      </c>
      <c r="D11" s="64" t="s">
        <v>72</v>
      </c>
      <c r="E11" s="42">
        <v>4000</v>
      </c>
      <c r="F11" s="18">
        <f t="shared" si="1"/>
        <v>16000</v>
      </c>
      <c r="G11" s="95">
        <f t="shared" si="0"/>
        <v>4</v>
      </c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>
        <v>1</v>
      </c>
      <c r="S11" s="43">
        <v>1</v>
      </c>
      <c r="T11" s="43"/>
      <c r="U11" s="43"/>
      <c r="V11" s="43">
        <v>1</v>
      </c>
      <c r="W11" s="43"/>
      <c r="X11" s="43"/>
      <c r="Y11" s="43">
        <v>1</v>
      </c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98"/>
      <c r="AL11" s="43"/>
      <c r="AM11" s="43"/>
      <c r="AN11" s="43"/>
      <c r="AO11" s="43"/>
      <c r="AP11" s="43"/>
      <c r="AQ11" s="43"/>
      <c r="AR11" s="43"/>
      <c r="AS11" s="43"/>
      <c r="AT11" s="43"/>
      <c r="AU11" s="44"/>
    </row>
    <row r="12" spans="2:47" s="38" customFormat="1" ht="30" customHeight="1" x14ac:dyDescent="0.2">
      <c r="B12" s="78" t="s">
        <v>18</v>
      </c>
      <c r="C12" s="63" t="s">
        <v>60</v>
      </c>
      <c r="D12" s="64" t="s">
        <v>73</v>
      </c>
      <c r="E12" s="42">
        <v>4000</v>
      </c>
      <c r="F12" s="18">
        <f t="shared" si="1"/>
        <v>8000</v>
      </c>
      <c r="G12" s="95">
        <f t="shared" si="0"/>
        <v>2</v>
      </c>
      <c r="H12" s="43"/>
      <c r="I12" s="43"/>
      <c r="J12" s="43">
        <v>1</v>
      </c>
      <c r="K12" s="43"/>
      <c r="L12" s="43"/>
      <c r="M12" s="43"/>
      <c r="N12" s="43">
        <v>1</v>
      </c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98"/>
      <c r="AL12" s="43"/>
      <c r="AM12" s="43"/>
      <c r="AN12" s="43"/>
      <c r="AO12" s="43"/>
      <c r="AP12" s="43"/>
      <c r="AQ12" s="43"/>
      <c r="AR12" s="43"/>
      <c r="AS12" s="43"/>
      <c r="AT12" s="43"/>
      <c r="AU12" s="44"/>
    </row>
    <row r="13" spans="2:47" s="38" customFormat="1" ht="30" customHeight="1" x14ac:dyDescent="0.2">
      <c r="B13" s="78" t="s">
        <v>19</v>
      </c>
      <c r="C13" s="63" t="s">
        <v>59</v>
      </c>
      <c r="D13" s="64"/>
      <c r="E13" s="42">
        <v>5000</v>
      </c>
      <c r="F13" s="18">
        <f t="shared" si="1"/>
        <v>0</v>
      </c>
      <c r="G13" s="95">
        <f t="shared" si="0"/>
        <v>0</v>
      </c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99"/>
      <c r="AL13" s="43"/>
      <c r="AM13" s="43"/>
      <c r="AN13" s="43"/>
      <c r="AO13" s="43"/>
      <c r="AP13" s="43"/>
      <c r="AQ13" s="43"/>
      <c r="AR13" s="43"/>
      <c r="AS13" s="43"/>
      <c r="AT13" s="43"/>
      <c r="AU13" s="44"/>
    </row>
    <row r="14" spans="2:47" s="38" customFormat="1" ht="30" customHeight="1" x14ac:dyDescent="0.2">
      <c r="B14" s="78" t="s">
        <v>20</v>
      </c>
      <c r="C14" s="63" t="s">
        <v>53</v>
      </c>
      <c r="D14" s="64" t="s">
        <v>66</v>
      </c>
      <c r="E14" s="42">
        <v>7000</v>
      </c>
      <c r="F14" s="18">
        <f t="shared" si="1"/>
        <v>7000</v>
      </c>
      <c r="G14" s="95">
        <f t="shared" si="0"/>
        <v>1</v>
      </c>
      <c r="H14" s="43"/>
      <c r="I14" s="43"/>
      <c r="J14" s="43"/>
      <c r="K14" s="43"/>
      <c r="L14" s="43"/>
      <c r="M14" s="43">
        <v>1</v>
      </c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98"/>
      <c r="AL14" s="43"/>
      <c r="AM14" s="43"/>
      <c r="AN14" s="43"/>
      <c r="AO14" s="43"/>
      <c r="AP14" s="43"/>
      <c r="AQ14" s="43"/>
      <c r="AR14" s="43"/>
      <c r="AS14" s="43"/>
      <c r="AT14" s="43"/>
      <c r="AU14" s="44"/>
    </row>
    <row r="15" spans="2:47" s="38" customFormat="1" ht="30" customHeight="1" x14ac:dyDescent="0.2">
      <c r="B15" s="78" t="s">
        <v>21</v>
      </c>
      <c r="C15" s="63" t="s">
        <v>66</v>
      </c>
      <c r="D15" s="64" t="s">
        <v>75</v>
      </c>
      <c r="E15" s="42">
        <v>7000</v>
      </c>
      <c r="F15" s="18">
        <f t="shared" si="1"/>
        <v>28000</v>
      </c>
      <c r="G15" s="95">
        <f t="shared" si="0"/>
        <v>4</v>
      </c>
      <c r="H15" s="43"/>
      <c r="I15" s="43"/>
      <c r="J15" s="43">
        <v>1</v>
      </c>
      <c r="K15" s="43"/>
      <c r="L15" s="43"/>
      <c r="M15" s="43">
        <v>1</v>
      </c>
      <c r="N15" s="43"/>
      <c r="O15" s="43"/>
      <c r="P15" s="43"/>
      <c r="Q15" s="43"/>
      <c r="R15" s="43"/>
      <c r="S15" s="43"/>
      <c r="T15" s="43">
        <v>1</v>
      </c>
      <c r="U15" s="43"/>
      <c r="V15" s="43"/>
      <c r="W15" s="43"/>
      <c r="X15" s="43"/>
      <c r="Y15" s="43"/>
      <c r="Z15" s="43">
        <v>1</v>
      </c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98"/>
      <c r="AL15" s="43"/>
      <c r="AM15" s="43"/>
      <c r="AN15" s="43"/>
      <c r="AO15" s="43"/>
      <c r="AP15" s="43"/>
      <c r="AQ15" s="43"/>
      <c r="AR15" s="43"/>
      <c r="AS15" s="43"/>
      <c r="AT15" s="43"/>
      <c r="AU15" s="44"/>
    </row>
    <row r="16" spans="2:47" s="38" customFormat="1" ht="30" customHeight="1" x14ac:dyDescent="0.2">
      <c r="B16" s="78" t="s">
        <v>22</v>
      </c>
      <c r="C16" s="63"/>
      <c r="D16" s="64"/>
      <c r="E16" s="42">
        <v>7000</v>
      </c>
      <c r="F16" s="18">
        <f t="shared" si="1"/>
        <v>0</v>
      </c>
      <c r="G16" s="95">
        <f t="shared" si="0"/>
        <v>0</v>
      </c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98"/>
      <c r="AL16" s="43"/>
      <c r="AM16" s="43"/>
      <c r="AN16" s="43"/>
      <c r="AO16" s="43"/>
      <c r="AP16" s="43"/>
      <c r="AQ16" s="43"/>
      <c r="AR16" s="43"/>
      <c r="AS16" s="43"/>
      <c r="AT16" s="43"/>
      <c r="AU16" s="44"/>
    </row>
    <row r="17" spans="2:47" s="38" customFormat="1" ht="30" customHeight="1" x14ac:dyDescent="0.2">
      <c r="B17" s="78" t="s">
        <v>23</v>
      </c>
      <c r="C17" s="63"/>
      <c r="D17" s="64"/>
      <c r="E17" s="42">
        <v>7000</v>
      </c>
      <c r="F17" s="18">
        <f t="shared" si="1"/>
        <v>0</v>
      </c>
      <c r="G17" s="95">
        <f t="shared" si="0"/>
        <v>0</v>
      </c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98"/>
      <c r="AL17" s="43"/>
      <c r="AM17" s="43"/>
      <c r="AN17" s="43"/>
      <c r="AO17" s="43"/>
      <c r="AP17" s="43"/>
      <c r="AQ17" s="43"/>
      <c r="AR17" s="43"/>
      <c r="AS17" s="43"/>
      <c r="AT17" s="43"/>
      <c r="AU17" s="44"/>
    </row>
    <row r="18" spans="2:47" s="38" customFormat="1" ht="30" customHeight="1" x14ac:dyDescent="0.2">
      <c r="B18" s="78" t="s">
        <v>24</v>
      </c>
      <c r="C18" s="63"/>
      <c r="D18" s="64"/>
      <c r="E18" s="42">
        <v>7000</v>
      </c>
      <c r="F18" s="18">
        <f t="shared" si="1"/>
        <v>0</v>
      </c>
      <c r="G18" s="95">
        <f t="shared" si="0"/>
        <v>0</v>
      </c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99"/>
      <c r="AL18" s="43"/>
      <c r="AM18" s="43"/>
      <c r="AN18" s="43"/>
      <c r="AO18" s="43"/>
      <c r="AP18" s="43"/>
      <c r="AQ18" s="43"/>
      <c r="AR18" s="43"/>
      <c r="AS18" s="43"/>
      <c r="AT18" s="43"/>
      <c r="AU18" s="44"/>
    </row>
    <row r="19" spans="2:47" s="38" customFormat="1" ht="30" customHeight="1" x14ac:dyDescent="0.2">
      <c r="B19" s="79" t="s">
        <v>25</v>
      </c>
      <c r="C19" s="65"/>
      <c r="D19" s="9"/>
      <c r="E19" s="61">
        <v>7000</v>
      </c>
      <c r="F19" s="50">
        <f t="shared" si="1"/>
        <v>0</v>
      </c>
      <c r="G19" s="95">
        <f t="shared" si="0"/>
        <v>0</v>
      </c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98"/>
      <c r="AL19" s="45"/>
      <c r="AM19" s="45"/>
      <c r="AN19" s="45"/>
      <c r="AO19" s="45"/>
      <c r="AP19" s="45"/>
      <c r="AQ19" s="45"/>
      <c r="AR19" s="45"/>
      <c r="AS19" s="45"/>
      <c r="AT19" s="45"/>
      <c r="AU19" s="60"/>
    </row>
    <row r="20" spans="2:47" s="38" customFormat="1" ht="20.100000000000001" customHeight="1" x14ac:dyDescent="0.2">
      <c r="B20" s="139" t="s">
        <v>8</v>
      </c>
      <c r="C20" s="140"/>
      <c r="D20" s="144"/>
      <c r="E20" s="146">
        <f>SUM(E6:E8,E10:E15)+E9*2</f>
        <v>61500</v>
      </c>
      <c r="F20" s="125">
        <f t="shared" ref="F20:X20" si="2">SUM(F6:F19)</f>
        <v>150000</v>
      </c>
      <c r="G20" s="125">
        <f t="shared" si="2"/>
        <v>27</v>
      </c>
      <c r="H20" s="23">
        <f t="shared" si="2"/>
        <v>1</v>
      </c>
      <c r="I20" s="23">
        <f t="shared" si="2"/>
        <v>1</v>
      </c>
      <c r="J20" s="23">
        <f t="shared" si="2"/>
        <v>4</v>
      </c>
      <c r="K20" s="23">
        <f t="shared" si="2"/>
        <v>1</v>
      </c>
      <c r="L20" s="23">
        <f t="shared" si="2"/>
        <v>1</v>
      </c>
      <c r="M20" s="23">
        <f t="shared" si="2"/>
        <v>3</v>
      </c>
      <c r="N20" s="23">
        <f t="shared" si="2"/>
        <v>1</v>
      </c>
      <c r="O20" s="23">
        <f t="shared" si="2"/>
        <v>1</v>
      </c>
      <c r="P20" s="23">
        <f t="shared" si="2"/>
        <v>1</v>
      </c>
      <c r="Q20" s="23">
        <f t="shared" si="2"/>
        <v>1</v>
      </c>
      <c r="R20" s="23">
        <f t="shared" si="2"/>
        <v>1</v>
      </c>
      <c r="S20" s="23">
        <f t="shared" si="2"/>
        <v>1</v>
      </c>
      <c r="T20" s="23">
        <f t="shared" si="2"/>
        <v>3</v>
      </c>
      <c r="U20" s="23">
        <f t="shared" si="2"/>
        <v>1</v>
      </c>
      <c r="V20" s="23">
        <f t="shared" si="2"/>
        <v>1</v>
      </c>
      <c r="W20" s="23">
        <f t="shared" si="2"/>
        <v>1</v>
      </c>
      <c r="X20" s="23">
        <f t="shared" si="2"/>
        <v>1</v>
      </c>
      <c r="Y20" s="23">
        <f t="shared" ref="Y20:AH20" si="3">SUM(Y6:Y19)</f>
        <v>2</v>
      </c>
      <c r="Z20" s="23">
        <f t="shared" si="3"/>
        <v>1</v>
      </c>
      <c r="AA20" s="23">
        <f t="shared" si="3"/>
        <v>0</v>
      </c>
      <c r="AB20" s="23">
        <f t="shared" si="3"/>
        <v>0</v>
      </c>
      <c r="AC20" s="23">
        <f t="shared" si="3"/>
        <v>0</v>
      </c>
      <c r="AD20" s="23">
        <f t="shared" si="3"/>
        <v>0</v>
      </c>
      <c r="AE20" s="23">
        <f t="shared" si="3"/>
        <v>0</v>
      </c>
      <c r="AF20" s="23">
        <f t="shared" si="3"/>
        <v>0</v>
      </c>
      <c r="AG20" s="23">
        <f t="shared" si="3"/>
        <v>0</v>
      </c>
      <c r="AH20" s="23">
        <f t="shared" si="3"/>
        <v>0</v>
      </c>
      <c r="AI20" s="23">
        <f>SUM(AI6:AI19)</f>
        <v>0</v>
      </c>
      <c r="AJ20" s="23">
        <f>SUM(AJ6:AJ19)</f>
        <v>0</v>
      </c>
      <c r="AK20" s="100">
        <f>SUM(AK6:AK19)</f>
        <v>0</v>
      </c>
      <c r="AL20" s="101">
        <f>SUM(AL6:AL19)</f>
        <v>0</v>
      </c>
      <c r="AM20" s="101">
        <f t="shared" ref="AM20:AU20" si="4">SUM(AM6:AM19)</f>
        <v>0</v>
      </c>
      <c r="AN20" s="101">
        <f t="shared" si="4"/>
        <v>0</v>
      </c>
      <c r="AO20" s="101">
        <f t="shared" si="4"/>
        <v>0</v>
      </c>
      <c r="AP20" s="101">
        <f t="shared" si="4"/>
        <v>0</v>
      </c>
      <c r="AQ20" s="101">
        <f t="shared" si="4"/>
        <v>0</v>
      </c>
      <c r="AR20" s="101">
        <f t="shared" si="4"/>
        <v>0</v>
      </c>
      <c r="AS20" s="101">
        <f t="shared" si="4"/>
        <v>0</v>
      </c>
      <c r="AT20" s="101">
        <f t="shared" si="4"/>
        <v>0</v>
      </c>
      <c r="AU20" s="102">
        <f t="shared" si="4"/>
        <v>0</v>
      </c>
    </row>
    <row r="21" spans="2:47" s="38" customFormat="1" ht="20.100000000000001" customHeight="1" x14ac:dyDescent="0.2">
      <c r="B21" s="141"/>
      <c r="C21" s="142"/>
      <c r="D21" s="145"/>
      <c r="E21" s="147"/>
      <c r="F21" s="126"/>
      <c r="G21" s="126"/>
      <c r="H21" s="46">
        <f>$E6*H6+$E7*H7+$E8*H8+$E9*H9+$E10*H10+$E11*H11+$E12*H12+$E14*H14+$E15*H15+$E16*H16+$E17*H17+$E18*H18+$E19*H19+$E13*H13</f>
        <v>5500</v>
      </c>
      <c r="I21" s="28">
        <f t="shared" ref="I21:AK21" si="5">$E6*I6+$E7*I7+$E8*I8+$E9*I9+$E10*I10+$E11*I11+$E12*I12+$E14*I14+$E15*I15+$E16*I16+$E17*I17+$E18*I18+$E19*I19+$E13*I13</f>
        <v>7000</v>
      </c>
      <c r="J21" s="28">
        <f t="shared" si="5"/>
        <v>20500</v>
      </c>
      <c r="K21" s="28">
        <f t="shared" si="5"/>
        <v>5500</v>
      </c>
      <c r="L21" s="28">
        <f t="shared" si="5"/>
        <v>5500</v>
      </c>
      <c r="M21" s="28">
        <f t="shared" si="5"/>
        <v>20000</v>
      </c>
      <c r="N21" s="28">
        <f t="shared" si="5"/>
        <v>4000</v>
      </c>
      <c r="O21" s="28">
        <f t="shared" si="5"/>
        <v>6000</v>
      </c>
      <c r="P21" s="28">
        <f t="shared" si="5"/>
        <v>6000</v>
      </c>
      <c r="Q21" s="28">
        <f t="shared" si="5"/>
        <v>5500</v>
      </c>
      <c r="R21" s="28">
        <f t="shared" si="5"/>
        <v>4000</v>
      </c>
      <c r="S21" s="28">
        <f t="shared" si="5"/>
        <v>4000</v>
      </c>
      <c r="T21" s="28">
        <f t="shared" si="5"/>
        <v>18500</v>
      </c>
      <c r="U21" s="28">
        <f t="shared" si="5"/>
        <v>4000</v>
      </c>
      <c r="V21" s="28">
        <f t="shared" si="5"/>
        <v>4000</v>
      </c>
      <c r="W21" s="28">
        <f t="shared" si="5"/>
        <v>6500</v>
      </c>
      <c r="X21" s="28">
        <f t="shared" si="5"/>
        <v>6500</v>
      </c>
      <c r="Y21" s="28">
        <f t="shared" si="5"/>
        <v>10000</v>
      </c>
      <c r="Z21" s="28">
        <f t="shared" si="5"/>
        <v>7000</v>
      </c>
      <c r="AA21" s="28">
        <f t="shared" si="5"/>
        <v>0</v>
      </c>
      <c r="AB21" s="28">
        <f t="shared" si="5"/>
        <v>0</v>
      </c>
      <c r="AC21" s="28">
        <f t="shared" si="5"/>
        <v>0</v>
      </c>
      <c r="AD21" s="28">
        <f t="shared" si="5"/>
        <v>0</v>
      </c>
      <c r="AE21" s="28">
        <f t="shared" si="5"/>
        <v>0</v>
      </c>
      <c r="AF21" s="28">
        <f t="shared" si="5"/>
        <v>0</v>
      </c>
      <c r="AG21" s="28">
        <f t="shared" si="5"/>
        <v>0</v>
      </c>
      <c r="AH21" s="28">
        <f t="shared" si="5"/>
        <v>0</v>
      </c>
      <c r="AI21" s="28">
        <f t="shared" si="5"/>
        <v>0</v>
      </c>
      <c r="AJ21" s="28">
        <f t="shared" si="5"/>
        <v>0</v>
      </c>
      <c r="AK21" s="74">
        <f t="shared" si="5"/>
        <v>0</v>
      </c>
      <c r="AL21" s="28">
        <f>$E6*AL6+$E7*AL7+$E8*AL8+$E9*AL9+$E10*AL10+$E11*AL11+$E12*AL12+$E14*AL14+$E15*AL15+$E16*AL16+$E17*AL17+$E18*AL18+$E19*AL19+$E13*AL13</f>
        <v>0</v>
      </c>
      <c r="AM21" s="28">
        <f>$E6*AM6+$E7*AM7+$E8*AM8+$E9*AM9+$E10*AM10+$E11*AM11+$E12*AM12+$E14*AM14+$E15*AM15+$E16*AM16+$E17*AM17+$E18*AM18+$E19*AM19+$E13*AM13</f>
        <v>0</v>
      </c>
      <c r="AN21" s="28">
        <f>$E6*AN6+$E7*AN7+$E8*AN8+$E9*AN9+$E10*AN10+$E11*AN11+$E12*AN12+$E14*AN14+$E15*AN15+$E16*AN16+$E17*AN17+$E18*AN18+$E19*AN19+$E13*AN13</f>
        <v>0</v>
      </c>
      <c r="AO21" s="28">
        <f t="shared" ref="AO21:AU21" si="6">$E6*AO6+$E7*AO7+$E8*AO8+$E9*AO9+$E10*AO10+$E11*AO11+$E12*AO12+$E14*AO14+$E15*AO15+$E16*AO16+$E17*AO17+$E18*AO18+$E19*AO19+$E13*AO13</f>
        <v>0</v>
      </c>
      <c r="AP21" s="28">
        <f t="shared" si="6"/>
        <v>0</v>
      </c>
      <c r="AQ21" s="28">
        <f t="shared" si="6"/>
        <v>0</v>
      </c>
      <c r="AR21" s="28">
        <f t="shared" si="6"/>
        <v>0</v>
      </c>
      <c r="AS21" s="28">
        <f t="shared" si="6"/>
        <v>0</v>
      </c>
      <c r="AT21" s="28">
        <f t="shared" si="6"/>
        <v>0</v>
      </c>
      <c r="AU21" s="29">
        <f t="shared" si="6"/>
        <v>0</v>
      </c>
    </row>
  </sheetData>
  <sheetProtection password="CC67" sheet="1" objects="1" scenarios="1"/>
  <mergeCells count="10">
    <mergeCell ref="B20:D21"/>
    <mergeCell ref="E20:E21"/>
    <mergeCell ref="F20:F21"/>
    <mergeCell ref="G20:G21"/>
    <mergeCell ref="B2:G2"/>
    <mergeCell ref="B4:B5"/>
    <mergeCell ref="C4:C5"/>
    <mergeCell ref="D4:D5"/>
    <mergeCell ref="E4:E5"/>
    <mergeCell ref="F4:F5"/>
  </mergeCells>
  <phoneticPr fontId="2" type="noConversion"/>
  <pageMargins left="0.7" right="0.7" top="0.75" bottom="0.75" header="0.3" footer="0.3"/>
  <pageSetup paperSize="9" scale="31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B1:AU21"/>
  <sheetViews>
    <sheetView showGridLines="0" zoomScale="85" zoomScaleNormal="85" workbookViewId="0">
      <pane xSplit="7" ySplit="5" topLeftCell="K6" activePane="bottomRight" state="frozen"/>
      <selection pane="topRight" activeCell="G1" sqref="G1"/>
      <selection pane="bottomLeft" activeCell="A6" sqref="A6"/>
      <selection pane="bottomRight" activeCell="C6" sqref="C6:D15"/>
    </sheetView>
  </sheetViews>
  <sheetFormatPr defaultColWidth="9.125" defaultRowHeight="14.25" x14ac:dyDescent="0.2"/>
  <cols>
    <col min="1" max="1" width="0.375" style="1" customWidth="1"/>
    <col min="2" max="2" width="16.875" style="1" bestFit="1" customWidth="1"/>
    <col min="3" max="4" width="13.625" style="1" customWidth="1"/>
    <col min="5" max="5" width="10.625" style="1" hidden="1" customWidth="1"/>
    <col min="6" max="6" width="10.625" style="1" customWidth="1"/>
    <col min="7" max="7" width="10.625" style="3" customWidth="1"/>
    <col min="8" max="22" width="10.625" style="4" customWidth="1"/>
    <col min="23" max="47" width="10.625" style="1" customWidth="1"/>
    <col min="48" max="16384" width="9.125" style="1"/>
  </cols>
  <sheetData>
    <row r="1" spans="2:47" ht="3.75" customHeight="1" x14ac:dyDescent="0.2"/>
    <row r="2" spans="2:47" ht="20.25" x14ac:dyDescent="0.2">
      <c r="B2" s="149" t="s">
        <v>26</v>
      </c>
      <c r="C2" s="149"/>
      <c r="D2" s="149"/>
      <c r="E2" s="149"/>
      <c r="F2" s="149"/>
      <c r="G2" s="149"/>
    </row>
    <row r="3" spans="2:47" ht="4.9000000000000004" customHeight="1" x14ac:dyDescent="0.2"/>
    <row r="4" spans="2:47" s="38" customFormat="1" ht="20.100000000000001" customHeight="1" x14ac:dyDescent="0.2">
      <c r="B4" s="150" t="s">
        <v>3</v>
      </c>
      <c r="C4" s="123" t="s">
        <v>45</v>
      </c>
      <c r="D4" s="153" t="s">
        <v>46</v>
      </c>
      <c r="E4" s="135" t="s">
        <v>4</v>
      </c>
      <c r="F4" s="129" t="s">
        <v>5</v>
      </c>
      <c r="G4" s="32" t="s">
        <v>0</v>
      </c>
      <c r="H4" s="33">
        <v>1</v>
      </c>
      <c r="I4" s="34">
        <v>2</v>
      </c>
      <c r="J4" s="34">
        <v>3</v>
      </c>
      <c r="K4" s="34">
        <v>4</v>
      </c>
      <c r="L4" s="34">
        <v>5</v>
      </c>
      <c r="M4" s="34">
        <v>6</v>
      </c>
      <c r="N4" s="34">
        <v>7</v>
      </c>
      <c r="O4" s="34">
        <v>8</v>
      </c>
      <c r="P4" s="34">
        <v>9</v>
      </c>
      <c r="Q4" s="34">
        <v>10</v>
      </c>
      <c r="R4" s="34">
        <v>11</v>
      </c>
      <c r="S4" s="34">
        <v>12</v>
      </c>
      <c r="T4" s="34">
        <v>13</v>
      </c>
      <c r="U4" s="34">
        <v>14</v>
      </c>
      <c r="V4" s="34">
        <v>15</v>
      </c>
      <c r="W4" s="34">
        <v>16</v>
      </c>
      <c r="X4" s="34">
        <v>17</v>
      </c>
      <c r="Y4" s="33">
        <v>18</v>
      </c>
      <c r="Z4" s="34">
        <v>19</v>
      </c>
      <c r="AA4" s="34">
        <v>20</v>
      </c>
      <c r="AB4" s="34">
        <v>21</v>
      </c>
      <c r="AC4" s="34">
        <v>22</v>
      </c>
      <c r="AD4" s="34">
        <v>23</v>
      </c>
      <c r="AE4" s="34">
        <v>24</v>
      </c>
      <c r="AF4" s="34">
        <v>25</v>
      </c>
      <c r="AG4" s="34">
        <v>26</v>
      </c>
      <c r="AH4" s="34">
        <v>27</v>
      </c>
      <c r="AI4" s="34">
        <v>28</v>
      </c>
      <c r="AJ4" s="34">
        <v>29</v>
      </c>
      <c r="AK4" s="96">
        <v>30</v>
      </c>
      <c r="AL4" s="34">
        <v>31</v>
      </c>
      <c r="AM4" s="34">
        <v>32</v>
      </c>
      <c r="AN4" s="34">
        <v>33</v>
      </c>
      <c r="AO4" s="34">
        <v>34</v>
      </c>
      <c r="AP4" s="34">
        <v>35</v>
      </c>
      <c r="AQ4" s="34">
        <v>36</v>
      </c>
      <c r="AR4" s="34">
        <v>37</v>
      </c>
      <c r="AS4" s="34">
        <v>38</v>
      </c>
      <c r="AT4" s="34">
        <v>39</v>
      </c>
      <c r="AU4" s="35">
        <v>40</v>
      </c>
    </row>
    <row r="5" spans="2:47" s="38" customFormat="1" ht="20.100000000000001" customHeight="1" x14ac:dyDescent="0.2">
      <c r="B5" s="151"/>
      <c r="C5" s="152"/>
      <c r="D5" s="154"/>
      <c r="E5" s="136"/>
      <c r="F5" s="130"/>
      <c r="G5" s="36" t="s">
        <v>1</v>
      </c>
      <c r="H5" s="37">
        <v>1502</v>
      </c>
      <c r="I5" s="37">
        <v>1103</v>
      </c>
      <c r="J5" s="37">
        <v>609</v>
      </c>
      <c r="K5" s="37">
        <v>818</v>
      </c>
      <c r="L5" s="37">
        <v>1114</v>
      </c>
      <c r="M5" s="37">
        <v>1220</v>
      </c>
      <c r="N5" s="37">
        <v>1720</v>
      </c>
      <c r="O5" s="37">
        <v>1224</v>
      </c>
      <c r="P5" s="37">
        <v>1215</v>
      </c>
      <c r="Q5" s="37">
        <v>623</v>
      </c>
      <c r="R5" s="37">
        <v>624</v>
      </c>
      <c r="S5" s="37">
        <v>1717</v>
      </c>
      <c r="T5" s="37">
        <v>721</v>
      </c>
      <c r="U5" s="37">
        <v>1806</v>
      </c>
      <c r="V5" s="37">
        <v>620</v>
      </c>
      <c r="W5" s="37">
        <v>1231</v>
      </c>
      <c r="X5" s="37">
        <v>622</v>
      </c>
      <c r="Y5" s="37">
        <v>618</v>
      </c>
      <c r="Z5" s="37">
        <v>1019</v>
      </c>
      <c r="AA5" s="37">
        <v>1120</v>
      </c>
      <c r="AB5" s="37">
        <v>1005</v>
      </c>
      <c r="AC5" s="37"/>
      <c r="AD5" s="37"/>
      <c r="AE5" s="37"/>
      <c r="AF5" s="37"/>
      <c r="AG5" s="37"/>
      <c r="AH5" s="37"/>
      <c r="AI5" s="37"/>
      <c r="AJ5" s="37"/>
      <c r="AK5" s="94"/>
      <c r="AL5" s="7"/>
      <c r="AM5" s="7"/>
      <c r="AN5" s="7"/>
      <c r="AO5" s="7"/>
      <c r="AP5" s="7"/>
      <c r="AQ5" s="7"/>
      <c r="AR5" s="7"/>
      <c r="AS5" s="7"/>
      <c r="AT5" s="7"/>
      <c r="AU5" s="9"/>
    </row>
    <row r="6" spans="2:47" s="38" customFormat="1" ht="30" customHeight="1" x14ac:dyDescent="0.2">
      <c r="B6" s="77" t="s">
        <v>12</v>
      </c>
      <c r="C6" s="62" t="s">
        <v>67</v>
      </c>
      <c r="D6" s="35"/>
      <c r="E6" s="39">
        <v>6000</v>
      </c>
      <c r="F6" s="12">
        <f>E6*G6</f>
        <v>12000</v>
      </c>
      <c r="G6" s="95">
        <f t="shared" ref="G6:G19" si="0">SUM(H6:AU6)</f>
        <v>2</v>
      </c>
      <c r="H6" s="40"/>
      <c r="I6" s="40"/>
      <c r="J6" s="40"/>
      <c r="K6" s="40"/>
      <c r="L6" s="40"/>
      <c r="M6" s="40"/>
      <c r="N6" s="40"/>
      <c r="O6" s="40"/>
      <c r="P6" s="40">
        <v>1</v>
      </c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>
        <v>1</v>
      </c>
      <c r="AC6" s="40"/>
      <c r="AD6" s="40"/>
      <c r="AE6" s="40"/>
      <c r="AF6" s="40"/>
      <c r="AG6" s="40"/>
      <c r="AH6" s="40"/>
      <c r="AI6" s="40"/>
      <c r="AJ6" s="40"/>
      <c r="AK6" s="97"/>
      <c r="AL6" s="40"/>
      <c r="AM6" s="40"/>
      <c r="AN6" s="40"/>
      <c r="AO6" s="40"/>
      <c r="AP6" s="40"/>
      <c r="AQ6" s="40"/>
      <c r="AR6" s="40"/>
      <c r="AS6" s="40"/>
      <c r="AT6" s="40"/>
      <c r="AU6" s="41"/>
    </row>
    <row r="7" spans="2:47" s="38" customFormat="1" ht="30" customHeight="1" x14ac:dyDescent="0.2">
      <c r="B7" s="78" t="s">
        <v>13</v>
      </c>
      <c r="C7" s="63" t="s">
        <v>54</v>
      </c>
      <c r="D7" s="64"/>
      <c r="E7" s="42">
        <v>6500</v>
      </c>
      <c r="F7" s="18">
        <f t="shared" ref="F7:F19" si="1">E7*G7</f>
        <v>32500</v>
      </c>
      <c r="G7" s="95">
        <f t="shared" si="0"/>
        <v>5</v>
      </c>
      <c r="H7" s="43"/>
      <c r="I7" s="43"/>
      <c r="J7" s="43"/>
      <c r="K7" s="43"/>
      <c r="L7" s="43">
        <v>1</v>
      </c>
      <c r="M7" s="43">
        <v>1</v>
      </c>
      <c r="N7" s="43"/>
      <c r="O7" s="43">
        <v>1</v>
      </c>
      <c r="P7" s="43">
        <v>1</v>
      </c>
      <c r="Q7" s="43"/>
      <c r="R7" s="43"/>
      <c r="S7" s="43"/>
      <c r="T7" s="43"/>
      <c r="U7" s="43"/>
      <c r="V7" s="43"/>
      <c r="W7" s="43"/>
      <c r="X7" s="43"/>
      <c r="Y7" s="43">
        <v>1</v>
      </c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98"/>
      <c r="AL7" s="43"/>
      <c r="AM7" s="43"/>
      <c r="AN7" s="43"/>
      <c r="AO7" s="43"/>
      <c r="AP7" s="43"/>
      <c r="AQ7" s="43"/>
      <c r="AR7" s="43"/>
      <c r="AS7" s="43"/>
      <c r="AT7" s="43"/>
      <c r="AU7" s="44"/>
    </row>
    <row r="8" spans="2:47" s="38" customFormat="1" ht="30" customHeight="1" x14ac:dyDescent="0.2">
      <c r="B8" s="78" t="s">
        <v>14</v>
      </c>
      <c r="C8" s="63" t="s">
        <v>65</v>
      </c>
      <c r="D8" s="64" t="s">
        <v>71</v>
      </c>
      <c r="E8" s="42">
        <v>7000</v>
      </c>
      <c r="F8" s="18">
        <f t="shared" si="1"/>
        <v>7000</v>
      </c>
      <c r="G8" s="95">
        <f t="shared" si="0"/>
        <v>1</v>
      </c>
      <c r="H8" s="43"/>
      <c r="I8" s="43"/>
      <c r="J8" s="43"/>
      <c r="K8" s="43"/>
      <c r="L8" s="43"/>
      <c r="M8" s="43"/>
      <c r="N8" s="43"/>
      <c r="O8" s="43"/>
      <c r="P8" s="43">
        <v>1</v>
      </c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98"/>
      <c r="AL8" s="43"/>
      <c r="AM8" s="43"/>
      <c r="AN8" s="43"/>
      <c r="AO8" s="43"/>
      <c r="AP8" s="43"/>
      <c r="AQ8" s="43"/>
      <c r="AR8" s="43"/>
      <c r="AS8" s="43"/>
      <c r="AT8" s="43"/>
      <c r="AU8" s="44"/>
    </row>
    <row r="9" spans="2:47" s="38" customFormat="1" ht="30" customHeight="1" x14ac:dyDescent="0.2">
      <c r="B9" s="78" t="s">
        <v>15</v>
      </c>
      <c r="C9" s="63" t="s">
        <v>57</v>
      </c>
      <c r="D9" s="64"/>
      <c r="E9" s="42">
        <v>5500</v>
      </c>
      <c r="F9" s="18">
        <f t="shared" si="1"/>
        <v>60500</v>
      </c>
      <c r="G9" s="95">
        <f t="shared" si="0"/>
        <v>11</v>
      </c>
      <c r="H9" s="43"/>
      <c r="I9" s="43">
        <v>1</v>
      </c>
      <c r="J9" s="43">
        <v>1</v>
      </c>
      <c r="K9" s="43"/>
      <c r="L9" s="43">
        <v>1</v>
      </c>
      <c r="M9" s="43">
        <v>1</v>
      </c>
      <c r="N9" s="43"/>
      <c r="O9" s="43"/>
      <c r="P9" s="43"/>
      <c r="Q9" s="43">
        <v>1</v>
      </c>
      <c r="R9" s="43"/>
      <c r="S9" s="43"/>
      <c r="T9" s="43">
        <v>1</v>
      </c>
      <c r="U9" s="43"/>
      <c r="V9" s="43"/>
      <c r="W9" s="43">
        <v>2</v>
      </c>
      <c r="X9" s="43">
        <v>1</v>
      </c>
      <c r="Y9" s="43"/>
      <c r="Z9" s="43">
        <v>1</v>
      </c>
      <c r="AA9" s="43">
        <v>1</v>
      </c>
      <c r="AB9" s="43"/>
      <c r="AC9" s="43"/>
      <c r="AD9" s="43"/>
      <c r="AE9" s="43"/>
      <c r="AF9" s="43"/>
      <c r="AG9" s="43"/>
      <c r="AH9" s="43"/>
      <c r="AI9" s="43"/>
      <c r="AJ9" s="43"/>
      <c r="AK9" s="98"/>
      <c r="AL9" s="43"/>
      <c r="AM9" s="43"/>
      <c r="AN9" s="43"/>
      <c r="AO9" s="43"/>
      <c r="AP9" s="43"/>
      <c r="AQ9" s="43"/>
      <c r="AR9" s="43"/>
      <c r="AS9" s="43"/>
      <c r="AT9" s="43"/>
      <c r="AU9" s="44"/>
    </row>
    <row r="10" spans="2:47" s="38" customFormat="1" ht="30" customHeight="1" x14ac:dyDescent="0.2">
      <c r="B10" s="78" t="s">
        <v>16</v>
      </c>
      <c r="C10" s="63" t="s">
        <v>69</v>
      </c>
      <c r="D10" s="64"/>
      <c r="E10" s="42">
        <v>4000</v>
      </c>
      <c r="F10" s="18">
        <f t="shared" si="1"/>
        <v>4000</v>
      </c>
      <c r="G10" s="95">
        <f t="shared" si="0"/>
        <v>1</v>
      </c>
      <c r="H10" s="43"/>
      <c r="I10" s="43"/>
      <c r="J10" s="43"/>
      <c r="K10" s="43"/>
      <c r="L10" s="43">
        <v>1</v>
      </c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98"/>
      <c r="AL10" s="43"/>
      <c r="AM10" s="43"/>
      <c r="AN10" s="43"/>
      <c r="AO10" s="43"/>
      <c r="AP10" s="43"/>
      <c r="AQ10" s="43"/>
      <c r="AR10" s="43"/>
      <c r="AS10" s="43"/>
      <c r="AT10" s="43"/>
      <c r="AU10" s="44"/>
    </row>
    <row r="11" spans="2:47" s="38" customFormat="1" ht="30" customHeight="1" x14ac:dyDescent="0.2">
      <c r="B11" s="78" t="s">
        <v>17</v>
      </c>
      <c r="C11" s="63" t="s">
        <v>59</v>
      </c>
      <c r="D11" s="64" t="s">
        <v>72</v>
      </c>
      <c r="E11" s="42">
        <v>4000</v>
      </c>
      <c r="F11" s="18">
        <f t="shared" si="1"/>
        <v>16000</v>
      </c>
      <c r="G11" s="95">
        <f t="shared" si="0"/>
        <v>4</v>
      </c>
      <c r="H11" s="43">
        <v>1</v>
      </c>
      <c r="I11" s="43"/>
      <c r="J11" s="43"/>
      <c r="K11" s="43"/>
      <c r="L11" s="43"/>
      <c r="M11" s="43">
        <v>1</v>
      </c>
      <c r="N11" s="43"/>
      <c r="O11" s="43"/>
      <c r="P11" s="43"/>
      <c r="Q11" s="43"/>
      <c r="R11" s="43"/>
      <c r="S11" s="43">
        <v>1</v>
      </c>
      <c r="T11" s="43"/>
      <c r="U11" s="43"/>
      <c r="V11" s="43"/>
      <c r="W11" s="43"/>
      <c r="X11" s="43">
        <v>1</v>
      </c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98"/>
      <c r="AL11" s="43"/>
      <c r="AM11" s="43"/>
      <c r="AN11" s="43"/>
      <c r="AO11" s="43"/>
      <c r="AP11" s="43"/>
      <c r="AQ11" s="43"/>
      <c r="AR11" s="43"/>
      <c r="AS11" s="43"/>
      <c r="AT11" s="43"/>
      <c r="AU11" s="44"/>
    </row>
    <row r="12" spans="2:47" s="38" customFormat="1" ht="30" customHeight="1" x14ac:dyDescent="0.2">
      <c r="B12" s="78" t="s">
        <v>18</v>
      </c>
      <c r="C12" s="63" t="s">
        <v>60</v>
      </c>
      <c r="D12" s="64" t="s">
        <v>73</v>
      </c>
      <c r="E12" s="42">
        <v>4000</v>
      </c>
      <c r="F12" s="18">
        <f t="shared" si="1"/>
        <v>8000</v>
      </c>
      <c r="G12" s="95">
        <f t="shared" si="0"/>
        <v>2</v>
      </c>
      <c r="H12" s="43"/>
      <c r="I12" s="43"/>
      <c r="J12" s="43"/>
      <c r="K12" s="43"/>
      <c r="L12" s="43"/>
      <c r="M12" s="43"/>
      <c r="N12" s="43">
        <v>1</v>
      </c>
      <c r="O12" s="43"/>
      <c r="P12" s="43"/>
      <c r="Q12" s="43"/>
      <c r="R12" s="43"/>
      <c r="S12" s="43"/>
      <c r="T12" s="43"/>
      <c r="U12" s="43"/>
      <c r="V12" s="43">
        <v>1</v>
      </c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98"/>
      <c r="AL12" s="43"/>
      <c r="AM12" s="43"/>
      <c r="AN12" s="43"/>
      <c r="AO12" s="43"/>
      <c r="AP12" s="43"/>
      <c r="AQ12" s="43"/>
      <c r="AR12" s="43"/>
      <c r="AS12" s="43"/>
      <c r="AT12" s="43"/>
      <c r="AU12" s="44"/>
    </row>
    <row r="13" spans="2:47" s="38" customFormat="1" ht="30" customHeight="1" x14ac:dyDescent="0.2">
      <c r="B13" s="78" t="s">
        <v>19</v>
      </c>
      <c r="C13" s="63" t="s">
        <v>59</v>
      </c>
      <c r="D13" s="64"/>
      <c r="E13" s="42">
        <v>5000</v>
      </c>
      <c r="F13" s="18">
        <f t="shared" si="1"/>
        <v>0</v>
      </c>
      <c r="G13" s="95">
        <f t="shared" si="0"/>
        <v>0</v>
      </c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99"/>
      <c r="AL13" s="43"/>
      <c r="AM13" s="43"/>
      <c r="AN13" s="43"/>
      <c r="AO13" s="43"/>
      <c r="AP13" s="43"/>
      <c r="AQ13" s="43"/>
      <c r="AR13" s="43"/>
      <c r="AS13" s="43"/>
      <c r="AT13" s="43"/>
      <c r="AU13" s="44"/>
    </row>
    <row r="14" spans="2:47" s="38" customFormat="1" ht="30" customHeight="1" x14ac:dyDescent="0.2">
      <c r="B14" s="78" t="s">
        <v>20</v>
      </c>
      <c r="C14" s="63" t="s">
        <v>53</v>
      </c>
      <c r="D14" s="64" t="s">
        <v>66</v>
      </c>
      <c r="E14" s="42">
        <v>7000</v>
      </c>
      <c r="F14" s="18">
        <f t="shared" si="1"/>
        <v>21000</v>
      </c>
      <c r="G14" s="95">
        <f t="shared" si="0"/>
        <v>3</v>
      </c>
      <c r="H14" s="43"/>
      <c r="I14" s="43"/>
      <c r="J14" s="43"/>
      <c r="K14" s="43"/>
      <c r="L14" s="43"/>
      <c r="M14" s="43"/>
      <c r="N14" s="43">
        <v>1</v>
      </c>
      <c r="O14" s="43"/>
      <c r="P14" s="43"/>
      <c r="Q14" s="43"/>
      <c r="R14" s="43">
        <v>1</v>
      </c>
      <c r="S14" s="43"/>
      <c r="T14" s="43"/>
      <c r="U14" s="43">
        <v>1</v>
      </c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98"/>
      <c r="AL14" s="43"/>
      <c r="AM14" s="43"/>
      <c r="AN14" s="43"/>
      <c r="AO14" s="43"/>
      <c r="AP14" s="43"/>
      <c r="AQ14" s="43"/>
      <c r="AR14" s="43"/>
      <c r="AS14" s="43"/>
      <c r="AT14" s="43"/>
      <c r="AU14" s="44"/>
    </row>
    <row r="15" spans="2:47" s="38" customFormat="1" ht="30" customHeight="1" x14ac:dyDescent="0.2">
      <c r="B15" s="78" t="s">
        <v>21</v>
      </c>
      <c r="C15" s="63" t="s">
        <v>66</v>
      </c>
      <c r="D15" s="64" t="s">
        <v>75</v>
      </c>
      <c r="E15" s="42">
        <v>7000</v>
      </c>
      <c r="F15" s="18">
        <f t="shared" si="1"/>
        <v>14000</v>
      </c>
      <c r="G15" s="95">
        <f t="shared" si="0"/>
        <v>2</v>
      </c>
      <c r="H15" s="43"/>
      <c r="I15" s="43"/>
      <c r="J15" s="43"/>
      <c r="K15" s="43">
        <v>1</v>
      </c>
      <c r="L15" s="43"/>
      <c r="M15" s="43"/>
      <c r="N15" s="43">
        <v>1</v>
      </c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98"/>
      <c r="AL15" s="43"/>
      <c r="AM15" s="43"/>
      <c r="AN15" s="43"/>
      <c r="AO15" s="43"/>
      <c r="AP15" s="43"/>
      <c r="AQ15" s="43"/>
      <c r="AR15" s="43"/>
      <c r="AS15" s="43"/>
      <c r="AT15" s="43"/>
      <c r="AU15" s="44"/>
    </row>
    <row r="16" spans="2:47" s="38" customFormat="1" ht="30" customHeight="1" x14ac:dyDescent="0.2">
      <c r="B16" s="78" t="s">
        <v>22</v>
      </c>
      <c r="C16" s="63"/>
      <c r="D16" s="64"/>
      <c r="E16" s="42">
        <v>7000</v>
      </c>
      <c r="F16" s="18">
        <f t="shared" si="1"/>
        <v>0</v>
      </c>
      <c r="G16" s="95">
        <f t="shared" si="0"/>
        <v>0</v>
      </c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98"/>
      <c r="AL16" s="43"/>
      <c r="AM16" s="43"/>
      <c r="AN16" s="43"/>
      <c r="AO16" s="43"/>
      <c r="AP16" s="43"/>
      <c r="AQ16" s="43"/>
      <c r="AR16" s="43"/>
      <c r="AS16" s="43"/>
      <c r="AT16" s="43"/>
      <c r="AU16" s="44"/>
    </row>
    <row r="17" spans="2:47" s="38" customFormat="1" ht="30" customHeight="1" x14ac:dyDescent="0.2">
      <c r="B17" s="78" t="s">
        <v>23</v>
      </c>
      <c r="C17" s="63"/>
      <c r="D17" s="64"/>
      <c r="E17" s="42">
        <v>7000</v>
      </c>
      <c r="F17" s="18">
        <f t="shared" si="1"/>
        <v>0</v>
      </c>
      <c r="G17" s="95">
        <f t="shared" si="0"/>
        <v>0</v>
      </c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98"/>
      <c r="AL17" s="43"/>
      <c r="AM17" s="43"/>
      <c r="AN17" s="43"/>
      <c r="AO17" s="43"/>
      <c r="AP17" s="43"/>
      <c r="AQ17" s="43"/>
      <c r="AR17" s="43"/>
      <c r="AS17" s="43"/>
      <c r="AT17" s="43"/>
      <c r="AU17" s="44"/>
    </row>
    <row r="18" spans="2:47" s="38" customFormat="1" ht="30" customHeight="1" x14ac:dyDescent="0.2">
      <c r="B18" s="78" t="s">
        <v>24</v>
      </c>
      <c r="C18" s="63"/>
      <c r="D18" s="64"/>
      <c r="E18" s="42">
        <v>7000</v>
      </c>
      <c r="F18" s="18">
        <f t="shared" si="1"/>
        <v>0</v>
      </c>
      <c r="G18" s="95">
        <f t="shared" si="0"/>
        <v>0</v>
      </c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99"/>
      <c r="AL18" s="43"/>
      <c r="AM18" s="43"/>
      <c r="AN18" s="43"/>
      <c r="AO18" s="43"/>
      <c r="AP18" s="43"/>
      <c r="AQ18" s="43"/>
      <c r="AR18" s="43"/>
      <c r="AS18" s="43"/>
      <c r="AT18" s="43"/>
      <c r="AU18" s="44"/>
    </row>
    <row r="19" spans="2:47" s="38" customFormat="1" ht="30" customHeight="1" x14ac:dyDescent="0.2">
      <c r="B19" s="79" t="s">
        <v>25</v>
      </c>
      <c r="C19" s="65"/>
      <c r="D19" s="9"/>
      <c r="E19" s="61">
        <v>7000</v>
      </c>
      <c r="F19" s="50">
        <f t="shared" si="1"/>
        <v>0</v>
      </c>
      <c r="G19" s="95">
        <f t="shared" si="0"/>
        <v>0</v>
      </c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98"/>
      <c r="AL19" s="45"/>
      <c r="AM19" s="45"/>
      <c r="AN19" s="45"/>
      <c r="AO19" s="45"/>
      <c r="AP19" s="45"/>
      <c r="AQ19" s="45"/>
      <c r="AR19" s="45"/>
      <c r="AS19" s="45"/>
      <c r="AT19" s="45"/>
      <c r="AU19" s="60"/>
    </row>
    <row r="20" spans="2:47" s="38" customFormat="1" ht="20.100000000000001" customHeight="1" x14ac:dyDescent="0.2">
      <c r="B20" s="139" t="s">
        <v>8</v>
      </c>
      <c r="C20" s="140"/>
      <c r="D20" s="144"/>
      <c r="E20" s="146">
        <f>SUM(E6:E8,E10:E15)+E9*2</f>
        <v>61500</v>
      </c>
      <c r="F20" s="125">
        <f t="shared" ref="F20:X20" si="2">SUM(F6:F19)</f>
        <v>175000</v>
      </c>
      <c r="G20" s="125">
        <f t="shared" si="2"/>
        <v>31</v>
      </c>
      <c r="H20" s="23">
        <f t="shared" si="2"/>
        <v>1</v>
      </c>
      <c r="I20" s="23">
        <f t="shared" si="2"/>
        <v>1</v>
      </c>
      <c r="J20" s="23">
        <f t="shared" si="2"/>
        <v>1</v>
      </c>
      <c r="K20" s="23">
        <f t="shared" si="2"/>
        <v>1</v>
      </c>
      <c r="L20" s="23">
        <f t="shared" si="2"/>
        <v>3</v>
      </c>
      <c r="M20" s="23">
        <f t="shared" si="2"/>
        <v>3</v>
      </c>
      <c r="N20" s="23">
        <f t="shared" si="2"/>
        <v>3</v>
      </c>
      <c r="O20" s="23">
        <f t="shared" si="2"/>
        <v>1</v>
      </c>
      <c r="P20" s="23">
        <f t="shared" si="2"/>
        <v>3</v>
      </c>
      <c r="Q20" s="23">
        <f t="shared" si="2"/>
        <v>1</v>
      </c>
      <c r="R20" s="23">
        <f t="shared" si="2"/>
        <v>1</v>
      </c>
      <c r="S20" s="23">
        <f t="shared" si="2"/>
        <v>1</v>
      </c>
      <c r="T20" s="23">
        <f t="shared" si="2"/>
        <v>1</v>
      </c>
      <c r="U20" s="23">
        <f t="shared" si="2"/>
        <v>1</v>
      </c>
      <c r="V20" s="23">
        <f t="shared" si="2"/>
        <v>1</v>
      </c>
      <c r="W20" s="23">
        <f t="shared" si="2"/>
        <v>2</v>
      </c>
      <c r="X20" s="23">
        <f t="shared" si="2"/>
        <v>2</v>
      </c>
      <c r="Y20" s="23">
        <f t="shared" ref="Y20:AH20" si="3">SUM(Y6:Y19)</f>
        <v>1</v>
      </c>
      <c r="Z20" s="23">
        <f t="shared" si="3"/>
        <v>1</v>
      </c>
      <c r="AA20" s="23">
        <f t="shared" si="3"/>
        <v>1</v>
      </c>
      <c r="AB20" s="23">
        <f t="shared" si="3"/>
        <v>1</v>
      </c>
      <c r="AC20" s="23">
        <f t="shared" si="3"/>
        <v>0</v>
      </c>
      <c r="AD20" s="23">
        <f t="shared" si="3"/>
        <v>0</v>
      </c>
      <c r="AE20" s="23">
        <f t="shared" si="3"/>
        <v>0</v>
      </c>
      <c r="AF20" s="23">
        <f t="shared" si="3"/>
        <v>0</v>
      </c>
      <c r="AG20" s="23">
        <f t="shared" si="3"/>
        <v>0</v>
      </c>
      <c r="AH20" s="23">
        <f t="shared" si="3"/>
        <v>0</v>
      </c>
      <c r="AI20" s="23">
        <f>SUM(AI6:AI19)</f>
        <v>0</v>
      </c>
      <c r="AJ20" s="23">
        <f>SUM(AJ6:AJ19)</f>
        <v>0</v>
      </c>
      <c r="AK20" s="100">
        <f>SUM(AK6:AK19)</f>
        <v>0</v>
      </c>
      <c r="AL20" s="101">
        <f>SUM(AL6:AL19)</f>
        <v>0</v>
      </c>
      <c r="AM20" s="101">
        <f t="shared" ref="AM20:AU20" si="4">SUM(AM6:AM19)</f>
        <v>0</v>
      </c>
      <c r="AN20" s="101">
        <f t="shared" si="4"/>
        <v>0</v>
      </c>
      <c r="AO20" s="101">
        <f t="shared" si="4"/>
        <v>0</v>
      </c>
      <c r="AP20" s="101">
        <f t="shared" si="4"/>
        <v>0</v>
      </c>
      <c r="AQ20" s="101">
        <f t="shared" si="4"/>
        <v>0</v>
      </c>
      <c r="AR20" s="101">
        <f t="shared" si="4"/>
        <v>0</v>
      </c>
      <c r="AS20" s="101">
        <f t="shared" si="4"/>
        <v>0</v>
      </c>
      <c r="AT20" s="101">
        <f t="shared" si="4"/>
        <v>0</v>
      </c>
      <c r="AU20" s="102">
        <f t="shared" si="4"/>
        <v>0</v>
      </c>
    </row>
    <row r="21" spans="2:47" s="38" customFormat="1" ht="20.100000000000001" customHeight="1" x14ac:dyDescent="0.2">
      <c r="B21" s="141"/>
      <c r="C21" s="142"/>
      <c r="D21" s="145"/>
      <c r="E21" s="147"/>
      <c r="F21" s="126"/>
      <c r="G21" s="126"/>
      <c r="H21" s="46">
        <f>$E6*H6+$E7*H7+$E8*H8+$E9*H9+$E10*H10+$E11*H11+$E12*H12+$E14*H14+$E15*H15+$E16*H16+$E17*H17+$E18*H18+$E19*H19+$E13*H13</f>
        <v>4000</v>
      </c>
      <c r="I21" s="28">
        <f t="shared" ref="I21:AK21" si="5">$E6*I6+$E7*I7+$E8*I8+$E9*I9+$E10*I10+$E11*I11+$E12*I12+$E14*I14+$E15*I15+$E16*I16+$E17*I17+$E18*I18+$E19*I19+$E13*I13</f>
        <v>5500</v>
      </c>
      <c r="J21" s="28">
        <f t="shared" si="5"/>
        <v>5500</v>
      </c>
      <c r="K21" s="28">
        <f t="shared" si="5"/>
        <v>7000</v>
      </c>
      <c r="L21" s="28">
        <f t="shared" si="5"/>
        <v>16000</v>
      </c>
      <c r="M21" s="28">
        <f t="shared" si="5"/>
        <v>16000</v>
      </c>
      <c r="N21" s="28">
        <f t="shared" si="5"/>
        <v>18000</v>
      </c>
      <c r="O21" s="28">
        <f t="shared" si="5"/>
        <v>6500</v>
      </c>
      <c r="P21" s="28">
        <f t="shared" si="5"/>
        <v>19500</v>
      </c>
      <c r="Q21" s="28">
        <f t="shared" si="5"/>
        <v>5500</v>
      </c>
      <c r="R21" s="28">
        <f t="shared" si="5"/>
        <v>7000</v>
      </c>
      <c r="S21" s="28">
        <f t="shared" si="5"/>
        <v>4000</v>
      </c>
      <c r="T21" s="28">
        <f t="shared" si="5"/>
        <v>5500</v>
      </c>
      <c r="U21" s="28">
        <f t="shared" si="5"/>
        <v>7000</v>
      </c>
      <c r="V21" s="28">
        <f t="shared" si="5"/>
        <v>4000</v>
      </c>
      <c r="W21" s="28">
        <f t="shared" si="5"/>
        <v>11000</v>
      </c>
      <c r="X21" s="28">
        <f t="shared" si="5"/>
        <v>9500</v>
      </c>
      <c r="Y21" s="28">
        <f t="shared" si="5"/>
        <v>6500</v>
      </c>
      <c r="Z21" s="28">
        <f t="shared" si="5"/>
        <v>5500</v>
      </c>
      <c r="AA21" s="28">
        <f t="shared" si="5"/>
        <v>5500</v>
      </c>
      <c r="AB21" s="28">
        <f t="shared" si="5"/>
        <v>6000</v>
      </c>
      <c r="AC21" s="28">
        <f t="shared" si="5"/>
        <v>0</v>
      </c>
      <c r="AD21" s="28">
        <f t="shared" si="5"/>
        <v>0</v>
      </c>
      <c r="AE21" s="28">
        <f t="shared" si="5"/>
        <v>0</v>
      </c>
      <c r="AF21" s="28">
        <f t="shared" si="5"/>
        <v>0</v>
      </c>
      <c r="AG21" s="28">
        <f t="shared" si="5"/>
        <v>0</v>
      </c>
      <c r="AH21" s="28">
        <f t="shared" si="5"/>
        <v>0</v>
      </c>
      <c r="AI21" s="28">
        <f t="shared" si="5"/>
        <v>0</v>
      </c>
      <c r="AJ21" s="28">
        <f t="shared" si="5"/>
        <v>0</v>
      </c>
      <c r="AK21" s="74">
        <f t="shared" si="5"/>
        <v>0</v>
      </c>
      <c r="AL21" s="28">
        <f>$E6*AL6+$E7*AL7+$E8*AL8+$E9*AL9+$E10*AL10+$E11*AL11+$E12*AL12+$E14*AL14+$E15*AL15+$E16*AL16+$E17*AL17+$E18*AL18+$E19*AL19+$E13*AL13</f>
        <v>0</v>
      </c>
      <c r="AM21" s="28">
        <f>$E6*AM6+$E7*AM7+$E8*AM8+$E9*AM9+$E10*AM10+$E11*AM11+$E12*AM12+$E14*AM14+$E15*AM15+$E16*AM16+$E17*AM17+$E18*AM18+$E19*AM19+$E13*AM13</f>
        <v>0</v>
      </c>
      <c r="AN21" s="28">
        <f>$E6*AN6+$E7*AN7+$E8*AN8+$E9*AN9+$E10*AN10+$E11*AN11+$E12*AN12+$E14*AN14+$E15*AN15+$E16*AN16+$E17*AN17+$E18*AN18+$E19*AN19+$E13*AN13</f>
        <v>0</v>
      </c>
      <c r="AO21" s="28">
        <f t="shared" ref="AO21:AU21" si="6">$E6*AO6+$E7*AO7+$E8*AO8+$E9*AO9+$E10*AO10+$E11*AO11+$E12*AO12+$E14*AO14+$E15*AO15+$E16*AO16+$E17*AO17+$E18*AO18+$E19*AO19+$E13*AO13</f>
        <v>0</v>
      </c>
      <c r="AP21" s="28">
        <f t="shared" si="6"/>
        <v>0</v>
      </c>
      <c r="AQ21" s="28">
        <f t="shared" si="6"/>
        <v>0</v>
      </c>
      <c r="AR21" s="28">
        <f t="shared" si="6"/>
        <v>0</v>
      </c>
      <c r="AS21" s="28">
        <f t="shared" si="6"/>
        <v>0</v>
      </c>
      <c r="AT21" s="28">
        <f t="shared" si="6"/>
        <v>0</v>
      </c>
      <c r="AU21" s="29">
        <f t="shared" si="6"/>
        <v>0</v>
      </c>
    </row>
  </sheetData>
  <sheetProtection password="CC67" sheet="1" objects="1" scenarios="1"/>
  <mergeCells count="10">
    <mergeCell ref="B20:D21"/>
    <mergeCell ref="E20:E21"/>
    <mergeCell ref="F20:F21"/>
    <mergeCell ref="G20:G21"/>
    <mergeCell ref="B2:G2"/>
    <mergeCell ref="B4:B5"/>
    <mergeCell ref="C4:C5"/>
    <mergeCell ref="D4:D5"/>
    <mergeCell ref="E4:E5"/>
    <mergeCell ref="F4:F5"/>
  </mergeCells>
  <phoneticPr fontId="2" type="noConversion"/>
  <pageMargins left="0.7" right="0.7" top="0.75" bottom="0.75" header="0.3" footer="0.3"/>
  <pageSetup paperSize="9" scale="31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B1:AU21"/>
  <sheetViews>
    <sheetView showGridLines="0" zoomScale="85" zoomScaleNormal="85" workbookViewId="0">
      <pane xSplit="7" ySplit="5" topLeftCell="P6" activePane="bottomRight" state="frozen"/>
      <selection pane="topRight" activeCell="G1" sqref="G1"/>
      <selection pane="bottomLeft" activeCell="A6" sqref="A6"/>
      <selection pane="bottomRight" activeCell="D17" sqref="D17"/>
    </sheetView>
  </sheetViews>
  <sheetFormatPr defaultColWidth="9.125" defaultRowHeight="14.25" x14ac:dyDescent="0.2"/>
  <cols>
    <col min="1" max="1" width="0.375" style="1" customWidth="1"/>
    <col min="2" max="2" width="16.875" style="1" bestFit="1" customWidth="1"/>
    <col min="3" max="4" width="13.625" style="1" customWidth="1"/>
    <col min="5" max="5" width="10.625" style="1" hidden="1" customWidth="1"/>
    <col min="6" max="6" width="10.625" style="1" customWidth="1"/>
    <col min="7" max="7" width="10.625" style="3" customWidth="1"/>
    <col min="8" max="22" width="10.625" style="4" customWidth="1"/>
    <col min="23" max="47" width="10.625" style="1" customWidth="1"/>
    <col min="48" max="16384" width="9.125" style="1"/>
  </cols>
  <sheetData>
    <row r="1" spans="2:47" ht="3.75" customHeight="1" x14ac:dyDescent="0.2"/>
    <row r="2" spans="2:47" ht="20.25" x14ac:dyDescent="0.2">
      <c r="B2" s="149" t="s">
        <v>26</v>
      </c>
      <c r="C2" s="149"/>
      <c r="D2" s="149"/>
      <c r="E2" s="149"/>
      <c r="F2" s="149"/>
      <c r="G2" s="149"/>
    </row>
    <row r="3" spans="2:47" ht="4.9000000000000004" customHeight="1" x14ac:dyDescent="0.2"/>
    <row r="4" spans="2:47" s="38" customFormat="1" ht="20.100000000000001" customHeight="1" x14ac:dyDescent="0.2">
      <c r="B4" s="150" t="s">
        <v>3</v>
      </c>
      <c r="C4" s="123" t="s">
        <v>45</v>
      </c>
      <c r="D4" s="153" t="s">
        <v>46</v>
      </c>
      <c r="E4" s="135" t="s">
        <v>4</v>
      </c>
      <c r="F4" s="129" t="s">
        <v>5</v>
      </c>
      <c r="G4" s="32" t="s">
        <v>0</v>
      </c>
      <c r="H4" s="33">
        <v>1</v>
      </c>
      <c r="I4" s="34">
        <v>2</v>
      </c>
      <c r="J4" s="34">
        <v>3</v>
      </c>
      <c r="K4" s="34">
        <v>4</v>
      </c>
      <c r="L4" s="34">
        <v>5</v>
      </c>
      <c r="M4" s="34">
        <v>6</v>
      </c>
      <c r="N4" s="34">
        <v>7</v>
      </c>
      <c r="O4" s="34">
        <v>8</v>
      </c>
      <c r="P4" s="34">
        <v>9</v>
      </c>
      <c r="Q4" s="34">
        <v>10</v>
      </c>
      <c r="R4" s="34">
        <v>11</v>
      </c>
      <c r="S4" s="34">
        <v>12</v>
      </c>
      <c r="T4" s="34">
        <v>13</v>
      </c>
      <c r="U4" s="34">
        <v>14</v>
      </c>
      <c r="V4" s="34">
        <v>15</v>
      </c>
      <c r="W4" s="34">
        <v>16</v>
      </c>
      <c r="X4" s="34">
        <v>17</v>
      </c>
      <c r="Y4" s="33">
        <v>18</v>
      </c>
      <c r="Z4" s="34">
        <v>19</v>
      </c>
      <c r="AA4" s="34">
        <v>20</v>
      </c>
      <c r="AB4" s="34">
        <v>21</v>
      </c>
      <c r="AC4" s="34">
        <v>22</v>
      </c>
      <c r="AD4" s="34">
        <v>23</v>
      </c>
      <c r="AE4" s="34">
        <v>24</v>
      </c>
      <c r="AF4" s="34">
        <v>25</v>
      </c>
      <c r="AG4" s="34">
        <v>26</v>
      </c>
      <c r="AH4" s="34">
        <v>27</v>
      </c>
      <c r="AI4" s="34">
        <v>28</v>
      </c>
      <c r="AJ4" s="34">
        <v>29</v>
      </c>
      <c r="AK4" s="96">
        <v>30</v>
      </c>
      <c r="AL4" s="34">
        <v>31</v>
      </c>
      <c r="AM4" s="34">
        <v>32</v>
      </c>
      <c r="AN4" s="34">
        <v>33</v>
      </c>
      <c r="AO4" s="34">
        <v>34</v>
      </c>
      <c r="AP4" s="34">
        <v>35</v>
      </c>
      <c r="AQ4" s="34">
        <v>36</v>
      </c>
      <c r="AR4" s="34">
        <v>37</v>
      </c>
      <c r="AS4" s="34">
        <v>38</v>
      </c>
      <c r="AT4" s="34">
        <v>39</v>
      </c>
      <c r="AU4" s="35">
        <v>40</v>
      </c>
    </row>
    <row r="5" spans="2:47" s="38" customFormat="1" ht="20.100000000000001" customHeight="1" x14ac:dyDescent="0.2">
      <c r="B5" s="151"/>
      <c r="C5" s="152"/>
      <c r="D5" s="154"/>
      <c r="E5" s="136"/>
      <c r="F5" s="130"/>
      <c r="G5" s="36" t="s">
        <v>1</v>
      </c>
      <c r="H5" s="37">
        <v>1103</v>
      </c>
      <c r="I5" s="37">
        <v>1231</v>
      </c>
      <c r="J5" s="37">
        <v>924</v>
      </c>
      <c r="K5" s="37">
        <v>1103</v>
      </c>
      <c r="L5" s="37">
        <v>1720</v>
      </c>
      <c r="M5" s="37">
        <v>1429</v>
      </c>
      <c r="N5" s="37">
        <v>712</v>
      </c>
      <c r="O5" s="37">
        <v>1220</v>
      </c>
      <c r="P5" s="37">
        <v>1808</v>
      </c>
      <c r="Q5" s="37">
        <v>605</v>
      </c>
      <c r="R5" s="37">
        <v>919</v>
      </c>
      <c r="S5" s="37">
        <v>717</v>
      </c>
      <c r="T5" s="37">
        <v>1224</v>
      </c>
      <c r="U5" s="37">
        <v>1019</v>
      </c>
      <c r="V5" s="37">
        <v>1417</v>
      </c>
      <c r="W5" s="37">
        <v>726</v>
      </c>
      <c r="X5" s="37">
        <v>922</v>
      </c>
      <c r="Y5" s="37">
        <v>1514</v>
      </c>
      <c r="Z5" s="37">
        <v>623</v>
      </c>
      <c r="AA5" s="37">
        <v>514</v>
      </c>
      <c r="AB5" s="37">
        <v>1017</v>
      </c>
      <c r="AC5" s="37">
        <v>1419</v>
      </c>
      <c r="AD5" s="37">
        <v>629</v>
      </c>
      <c r="AE5" s="37">
        <v>710</v>
      </c>
      <c r="AF5" s="37">
        <v>1126</v>
      </c>
      <c r="AG5" s="37">
        <v>1101</v>
      </c>
      <c r="AH5" s="37"/>
      <c r="AI5" s="37"/>
      <c r="AJ5" s="37"/>
      <c r="AK5" s="94"/>
      <c r="AL5" s="7"/>
      <c r="AM5" s="7"/>
      <c r="AN5" s="7"/>
      <c r="AO5" s="7"/>
      <c r="AP5" s="7"/>
      <c r="AQ5" s="7"/>
      <c r="AR5" s="7"/>
      <c r="AS5" s="7"/>
      <c r="AT5" s="7"/>
      <c r="AU5" s="9"/>
    </row>
    <row r="6" spans="2:47" s="38" customFormat="1" ht="30" customHeight="1" x14ac:dyDescent="0.2">
      <c r="B6" s="77" t="s">
        <v>12</v>
      </c>
      <c r="C6" s="62" t="s">
        <v>67</v>
      </c>
      <c r="D6" s="35"/>
      <c r="E6" s="39">
        <v>6000</v>
      </c>
      <c r="F6" s="12">
        <f>E6*G6</f>
        <v>42000</v>
      </c>
      <c r="G6" s="95">
        <f t="shared" ref="G6:G19" si="0">SUM(H6:AU6)</f>
        <v>7</v>
      </c>
      <c r="H6" s="40"/>
      <c r="I6" s="40"/>
      <c r="J6" s="40"/>
      <c r="K6" s="40">
        <v>1</v>
      </c>
      <c r="L6" s="40">
        <v>1</v>
      </c>
      <c r="M6" s="40">
        <v>1</v>
      </c>
      <c r="N6" s="40"/>
      <c r="O6" s="40"/>
      <c r="P6" s="40">
        <v>1</v>
      </c>
      <c r="Q6" s="40"/>
      <c r="R6" s="40"/>
      <c r="S6" s="40"/>
      <c r="T6" s="40"/>
      <c r="U6" s="40"/>
      <c r="V6" s="40"/>
      <c r="W6" s="40"/>
      <c r="X6" s="40"/>
      <c r="Y6" s="40">
        <v>1</v>
      </c>
      <c r="Z6" s="40">
        <v>1</v>
      </c>
      <c r="AA6" s="40"/>
      <c r="AB6" s="40"/>
      <c r="AC6" s="40"/>
      <c r="AD6" s="40">
        <v>1</v>
      </c>
      <c r="AE6" s="40"/>
      <c r="AF6" s="40"/>
      <c r="AG6" s="40"/>
      <c r="AH6" s="40"/>
      <c r="AI6" s="40"/>
      <c r="AJ6" s="40"/>
      <c r="AK6" s="97"/>
      <c r="AL6" s="40"/>
      <c r="AM6" s="40"/>
      <c r="AN6" s="40"/>
      <c r="AO6" s="40"/>
      <c r="AP6" s="40"/>
      <c r="AQ6" s="40"/>
      <c r="AR6" s="40"/>
      <c r="AS6" s="40"/>
      <c r="AT6" s="40"/>
      <c r="AU6" s="41"/>
    </row>
    <row r="7" spans="2:47" s="38" customFormat="1" ht="30" customHeight="1" x14ac:dyDescent="0.2">
      <c r="B7" s="78" t="s">
        <v>13</v>
      </c>
      <c r="C7" s="63" t="s">
        <v>67</v>
      </c>
      <c r="D7" s="64"/>
      <c r="E7" s="42">
        <v>6500</v>
      </c>
      <c r="F7" s="18">
        <f t="shared" ref="F7:F19" si="1">E7*G7</f>
        <v>19500</v>
      </c>
      <c r="G7" s="95">
        <f t="shared" si="0"/>
        <v>3</v>
      </c>
      <c r="H7" s="43"/>
      <c r="I7" s="43"/>
      <c r="J7" s="43"/>
      <c r="K7" s="43"/>
      <c r="L7" s="43"/>
      <c r="M7" s="43"/>
      <c r="N7" s="43">
        <v>1</v>
      </c>
      <c r="O7" s="43">
        <v>1</v>
      </c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>
        <v>1</v>
      </c>
      <c r="AE7" s="43"/>
      <c r="AF7" s="43"/>
      <c r="AG7" s="43"/>
      <c r="AH7" s="43"/>
      <c r="AI7" s="43"/>
      <c r="AJ7" s="43"/>
      <c r="AK7" s="98"/>
      <c r="AL7" s="43"/>
      <c r="AM7" s="43"/>
      <c r="AN7" s="43"/>
      <c r="AO7" s="43"/>
      <c r="AP7" s="43"/>
      <c r="AQ7" s="43"/>
      <c r="AR7" s="43"/>
      <c r="AS7" s="43"/>
      <c r="AT7" s="43"/>
      <c r="AU7" s="44"/>
    </row>
    <row r="8" spans="2:47" s="38" customFormat="1" ht="30" customHeight="1" x14ac:dyDescent="0.2">
      <c r="B8" s="78" t="s">
        <v>14</v>
      </c>
      <c r="C8" s="63" t="s">
        <v>65</v>
      </c>
      <c r="D8" s="64" t="s">
        <v>71</v>
      </c>
      <c r="E8" s="42">
        <v>7000</v>
      </c>
      <c r="F8" s="18">
        <f t="shared" si="1"/>
        <v>28000</v>
      </c>
      <c r="G8" s="95">
        <f t="shared" si="0"/>
        <v>4</v>
      </c>
      <c r="H8" s="43"/>
      <c r="I8" s="43"/>
      <c r="J8" s="43"/>
      <c r="K8" s="43"/>
      <c r="L8" s="43"/>
      <c r="M8" s="43"/>
      <c r="N8" s="43"/>
      <c r="O8" s="43"/>
      <c r="P8" s="43">
        <v>1</v>
      </c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>
        <v>1</v>
      </c>
      <c r="AC8" s="43"/>
      <c r="AD8" s="43">
        <v>1</v>
      </c>
      <c r="AE8" s="43"/>
      <c r="AF8" s="43">
        <v>1</v>
      </c>
      <c r="AG8" s="43"/>
      <c r="AH8" s="43"/>
      <c r="AI8" s="43"/>
      <c r="AJ8" s="43"/>
      <c r="AK8" s="98"/>
      <c r="AL8" s="43"/>
      <c r="AM8" s="43"/>
      <c r="AN8" s="43"/>
      <c r="AO8" s="43"/>
      <c r="AP8" s="43"/>
      <c r="AQ8" s="43"/>
      <c r="AR8" s="43"/>
      <c r="AS8" s="43"/>
      <c r="AT8" s="43"/>
      <c r="AU8" s="44"/>
    </row>
    <row r="9" spans="2:47" s="38" customFormat="1" ht="30" customHeight="1" x14ac:dyDescent="0.2">
      <c r="B9" s="78" t="s">
        <v>15</v>
      </c>
      <c r="C9" s="63" t="s">
        <v>57</v>
      </c>
      <c r="D9" s="64"/>
      <c r="E9" s="42">
        <v>5500</v>
      </c>
      <c r="F9" s="18">
        <f t="shared" si="1"/>
        <v>110000</v>
      </c>
      <c r="G9" s="95">
        <f t="shared" si="0"/>
        <v>20</v>
      </c>
      <c r="H9" s="43">
        <v>1</v>
      </c>
      <c r="I9" s="43">
        <v>1</v>
      </c>
      <c r="J9" s="43">
        <v>1</v>
      </c>
      <c r="K9" s="43"/>
      <c r="L9" s="43"/>
      <c r="M9" s="43">
        <v>2</v>
      </c>
      <c r="N9" s="43">
        <v>1</v>
      </c>
      <c r="O9" s="43"/>
      <c r="P9" s="43">
        <v>1</v>
      </c>
      <c r="Q9" s="43">
        <v>1</v>
      </c>
      <c r="R9" s="43">
        <v>1</v>
      </c>
      <c r="S9" s="43">
        <v>2</v>
      </c>
      <c r="T9" s="43"/>
      <c r="U9" s="43">
        <v>1</v>
      </c>
      <c r="V9" s="43">
        <v>2</v>
      </c>
      <c r="W9" s="43"/>
      <c r="X9" s="43">
        <v>2</v>
      </c>
      <c r="Y9" s="43"/>
      <c r="Z9" s="43"/>
      <c r="AA9" s="43">
        <v>1</v>
      </c>
      <c r="AB9" s="43"/>
      <c r="AC9" s="43"/>
      <c r="AD9" s="43"/>
      <c r="AE9" s="43">
        <v>1</v>
      </c>
      <c r="AF9" s="43"/>
      <c r="AG9" s="43">
        <v>2</v>
      </c>
      <c r="AH9" s="43"/>
      <c r="AI9" s="43"/>
      <c r="AJ9" s="43"/>
      <c r="AK9" s="98"/>
      <c r="AL9" s="43"/>
      <c r="AM9" s="43"/>
      <c r="AN9" s="43"/>
      <c r="AO9" s="43"/>
      <c r="AP9" s="43"/>
      <c r="AQ9" s="43"/>
      <c r="AR9" s="43"/>
      <c r="AS9" s="43"/>
      <c r="AT9" s="43"/>
      <c r="AU9" s="44"/>
    </row>
    <row r="10" spans="2:47" s="38" customFormat="1" ht="30" customHeight="1" x14ac:dyDescent="0.2">
      <c r="B10" s="78" t="s">
        <v>16</v>
      </c>
      <c r="C10" s="63" t="s">
        <v>69</v>
      </c>
      <c r="D10" s="64"/>
      <c r="E10" s="42">
        <v>4000</v>
      </c>
      <c r="F10" s="18">
        <f t="shared" si="1"/>
        <v>4000</v>
      </c>
      <c r="G10" s="95">
        <f t="shared" si="0"/>
        <v>1</v>
      </c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>
        <v>1</v>
      </c>
      <c r="AH10" s="43"/>
      <c r="AI10" s="43"/>
      <c r="AJ10" s="43"/>
      <c r="AK10" s="98"/>
      <c r="AL10" s="43"/>
      <c r="AM10" s="43"/>
      <c r="AN10" s="43"/>
      <c r="AO10" s="43"/>
      <c r="AP10" s="43"/>
      <c r="AQ10" s="43"/>
      <c r="AR10" s="43"/>
      <c r="AS10" s="43"/>
      <c r="AT10" s="43"/>
      <c r="AU10" s="44"/>
    </row>
    <row r="11" spans="2:47" s="38" customFormat="1" ht="30" customHeight="1" x14ac:dyDescent="0.2">
      <c r="B11" s="78" t="s">
        <v>17</v>
      </c>
      <c r="C11" s="63" t="s">
        <v>72</v>
      </c>
      <c r="D11" s="64"/>
      <c r="E11" s="42">
        <v>4000</v>
      </c>
      <c r="F11" s="18">
        <f t="shared" si="1"/>
        <v>20000</v>
      </c>
      <c r="G11" s="95">
        <f t="shared" si="0"/>
        <v>5</v>
      </c>
      <c r="H11" s="43"/>
      <c r="I11" s="43"/>
      <c r="J11" s="43"/>
      <c r="K11" s="43"/>
      <c r="L11" s="43"/>
      <c r="M11" s="43">
        <v>1</v>
      </c>
      <c r="N11" s="43"/>
      <c r="O11" s="43"/>
      <c r="P11" s="43"/>
      <c r="Q11" s="43"/>
      <c r="R11" s="43"/>
      <c r="S11" s="43"/>
      <c r="T11" s="43"/>
      <c r="U11" s="43"/>
      <c r="V11" s="43"/>
      <c r="W11" s="43">
        <v>1</v>
      </c>
      <c r="X11" s="43"/>
      <c r="Y11" s="43"/>
      <c r="Z11" s="43"/>
      <c r="AA11" s="43"/>
      <c r="AB11" s="43"/>
      <c r="AC11" s="43">
        <v>1</v>
      </c>
      <c r="AD11" s="43">
        <v>1</v>
      </c>
      <c r="AE11" s="43"/>
      <c r="AF11" s="43"/>
      <c r="AG11" s="43">
        <v>1</v>
      </c>
      <c r="AH11" s="43"/>
      <c r="AI11" s="43"/>
      <c r="AJ11" s="43"/>
      <c r="AK11" s="98"/>
      <c r="AL11" s="43"/>
      <c r="AM11" s="43"/>
      <c r="AN11" s="43"/>
      <c r="AO11" s="43"/>
      <c r="AP11" s="43"/>
      <c r="AQ11" s="43"/>
      <c r="AR11" s="43"/>
      <c r="AS11" s="43"/>
      <c r="AT11" s="43"/>
      <c r="AU11" s="44"/>
    </row>
    <row r="12" spans="2:47" s="38" customFormat="1" ht="30" customHeight="1" x14ac:dyDescent="0.2">
      <c r="B12" s="78" t="s">
        <v>18</v>
      </c>
      <c r="C12" s="63" t="s">
        <v>60</v>
      </c>
      <c r="D12" s="64" t="s">
        <v>73</v>
      </c>
      <c r="E12" s="42">
        <v>4000</v>
      </c>
      <c r="F12" s="18">
        <f t="shared" si="1"/>
        <v>4000</v>
      </c>
      <c r="G12" s="95">
        <f t="shared" si="0"/>
        <v>1</v>
      </c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>
        <v>1</v>
      </c>
      <c r="AD12" s="43"/>
      <c r="AE12" s="43"/>
      <c r="AF12" s="43"/>
      <c r="AG12" s="43"/>
      <c r="AH12" s="43"/>
      <c r="AI12" s="43"/>
      <c r="AJ12" s="43"/>
      <c r="AK12" s="98"/>
      <c r="AL12" s="43"/>
      <c r="AM12" s="43"/>
      <c r="AN12" s="43"/>
      <c r="AO12" s="43"/>
      <c r="AP12" s="43"/>
      <c r="AQ12" s="43"/>
      <c r="AR12" s="43"/>
      <c r="AS12" s="43"/>
      <c r="AT12" s="43"/>
      <c r="AU12" s="44"/>
    </row>
    <row r="13" spans="2:47" s="38" customFormat="1" ht="30" customHeight="1" x14ac:dyDescent="0.2">
      <c r="B13" s="78" t="s">
        <v>19</v>
      </c>
      <c r="C13" s="63" t="s">
        <v>59</v>
      </c>
      <c r="D13" s="64"/>
      <c r="E13" s="42">
        <v>5000</v>
      </c>
      <c r="F13" s="18">
        <f t="shared" si="1"/>
        <v>5000</v>
      </c>
      <c r="G13" s="95">
        <f t="shared" si="0"/>
        <v>1</v>
      </c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>
        <v>1</v>
      </c>
      <c r="AF13" s="45"/>
      <c r="AG13" s="45"/>
      <c r="AH13" s="45"/>
      <c r="AI13" s="45"/>
      <c r="AJ13" s="45"/>
      <c r="AK13" s="99"/>
      <c r="AL13" s="43"/>
      <c r="AM13" s="43"/>
      <c r="AN13" s="43"/>
      <c r="AO13" s="43"/>
      <c r="AP13" s="43"/>
      <c r="AQ13" s="43"/>
      <c r="AR13" s="43"/>
      <c r="AS13" s="43"/>
      <c r="AT13" s="43"/>
      <c r="AU13" s="44"/>
    </row>
    <row r="14" spans="2:47" s="38" customFormat="1" ht="30" customHeight="1" x14ac:dyDescent="0.2">
      <c r="B14" s="78" t="s">
        <v>20</v>
      </c>
      <c r="C14" s="63" t="s">
        <v>66</v>
      </c>
      <c r="D14" s="64"/>
      <c r="E14" s="42">
        <v>7000</v>
      </c>
      <c r="F14" s="18">
        <f t="shared" si="1"/>
        <v>7000</v>
      </c>
      <c r="G14" s="95">
        <f t="shared" si="0"/>
        <v>1</v>
      </c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>
        <v>1</v>
      </c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98"/>
      <c r="AL14" s="43"/>
      <c r="AM14" s="43"/>
      <c r="AN14" s="43"/>
      <c r="AO14" s="43"/>
      <c r="AP14" s="43"/>
      <c r="AQ14" s="43"/>
      <c r="AR14" s="43"/>
      <c r="AS14" s="43"/>
      <c r="AT14" s="43"/>
      <c r="AU14" s="44"/>
    </row>
    <row r="15" spans="2:47" s="38" customFormat="1" ht="30" customHeight="1" x14ac:dyDescent="0.2">
      <c r="B15" s="78" t="s">
        <v>21</v>
      </c>
      <c r="C15" s="63" t="s">
        <v>75</v>
      </c>
      <c r="D15" s="64"/>
      <c r="E15" s="42">
        <v>7000</v>
      </c>
      <c r="F15" s="18">
        <f t="shared" si="1"/>
        <v>7000</v>
      </c>
      <c r="G15" s="95">
        <f t="shared" si="0"/>
        <v>1</v>
      </c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>
        <v>1</v>
      </c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98"/>
      <c r="AL15" s="43"/>
      <c r="AM15" s="43"/>
      <c r="AN15" s="43"/>
      <c r="AO15" s="43"/>
      <c r="AP15" s="43"/>
      <c r="AQ15" s="43"/>
      <c r="AR15" s="43"/>
      <c r="AS15" s="43"/>
      <c r="AT15" s="43"/>
      <c r="AU15" s="44"/>
    </row>
    <row r="16" spans="2:47" s="38" customFormat="1" ht="30" customHeight="1" x14ac:dyDescent="0.2">
      <c r="B16" s="78" t="s">
        <v>22</v>
      </c>
      <c r="C16" s="63"/>
      <c r="D16" s="64"/>
      <c r="E16" s="42">
        <v>7000</v>
      </c>
      <c r="F16" s="18">
        <f t="shared" si="1"/>
        <v>0</v>
      </c>
      <c r="G16" s="95">
        <f t="shared" si="0"/>
        <v>0</v>
      </c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98"/>
      <c r="AL16" s="43"/>
      <c r="AM16" s="43"/>
      <c r="AN16" s="43"/>
      <c r="AO16" s="43"/>
      <c r="AP16" s="43"/>
      <c r="AQ16" s="43"/>
      <c r="AR16" s="43"/>
      <c r="AS16" s="43"/>
      <c r="AT16" s="43"/>
      <c r="AU16" s="44"/>
    </row>
    <row r="17" spans="2:47" s="38" customFormat="1" ht="30" customHeight="1" x14ac:dyDescent="0.2">
      <c r="B17" s="78" t="s">
        <v>23</v>
      </c>
      <c r="C17" s="63"/>
      <c r="D17" s="64"/>
      <c r="E17" s="42">
        <v>7000</v>
      </c>
      <c r="F17" s="18">
        <f t="shared" si="1"/>
        <v>0</v>
      </c>
      <c r="G17" s="95">
        <f t="shared" si="0"/>
        <v>0</v>
      </c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98"/>
      <c r="AL17" s="43"/>
      <c r="AM17" s="43"/>
      <c r="AN17" s="43"/>
      <c r="AO17" s="43"/>
      <c r="AP17" s="43"/>
      <c r="AQ17" s="43"/>
      <c r="AR17" s="43"/>
      <c r="AS17" s="43"/>
      <c r="AT17" s="43"/>
      <c r="AU17" s="44"/>
    </row>
    <row r="18" spans="2:47" s="38" customFormat="1" ht="30" customHeight="1" x14ac:dyDescent="0.2">
      <c r="B18" s="78" t="s">
        <v>24</v>
      </c>
      <c r="C18" s="63"/>
      <c r="D18" s="64"/>
      <c r="E18" s="42">
        <v>7000</v>
      </c>
      <c r="F18" s="18">
        <f t="shared" si="1"/>
        <v>0</v>
      </c>
      <c r="G18" s="95">
        <f t="shared" si="0"/>
        <v>0</v>
      </c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99"/>
      <c r="AL18" s="43"/>
      <c r="AM18" s="43"/>
      <c r="AN18" s="43"/>
      <c r="AO18" s="43"/>
      <c r="AP18" s="43"/>
      <c r="AQ18" s="43"/>
      <c r="AR18" s="43"/>
      <c r="AS18" s="43"/>
      <c r="AT18" s="43"/>
      <c r="AU18" s="44"/>
    </row>
    <row r="19" spans="2:47" s="38" customFormat="1" ht="30" customHeight="1" x14ac:dyDescent="0.2">
      <c r="B19" s="79" t="s">
        <v>25</v>
      </c>
      <c r="C19" s="65"/>
      <c r="D19" s="9"/>
      <c r="E19" s="61">
        <v>7000</v>
      </c>
      <c r="F19" s="50">
        <f t="shared" si="1"/>
        <v>0</v>
      </c>
      <c r="G19" s="95">
        <f t="shared" si="0"/>
        <v>0</v>
      </c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98"/>
      <c r="AL19" s="45"/>
      <c r="AM19" s="45"/>
      <c r="AN19" s="45"/>
      <c r="AO19" s="45"/>
      <c r="AP19" s="45"/>
      <c r="AQ19" s="45"/>
      <c r="AR19" s="45"/>
      <c r="AS19" s="45"/>
      <c r="AT19" s="45"/>
      <c r="AU19" s="60"/>
    </row>
    <row r="20" spans="2:47" s="38" customFormat="1" ht="20.100000000000001" customHeight="1" x14ac:dyDescent="0.2">
      <c r="B20" s="139" t="s">
        <v>8</v>
      </c>
      <c r="C20" s="140"/>
      <c r="D20" s="144"/>
      <c r="E20" s="146">
        <f>SUM(E6:E8,E10:E15)+E9*2</f>
        <v>61500</v>
      </c>
      <c r="F20" s="125">
        <f t="shared" ref="F20:X20" si="2">SUM(F6:F19)</f>
        <v>246500</v>
      </c>
      <c r="G20" s="125">
        <f t="shared" si="2"/>
        <v>44</v>
      </c>
      <c r="H20" s="23">
        <f t="shared" si="2"/>
        <v>1</v>
      </c>
      <c r="I20" s="23">
        <f t="shared" si="2"/>
        <v>1</v>
      </c>
      <c r="J20" s="23">
        <f t="shared" si="2"/>
        <v>1</v>
      </c>
      <c r="K20" s="23">
        <f t="shared" si="2"/>
        <v>1</v>
      </c>
      <c r="L20" s="23">
        <f t="shared" si="2"/>
        <v>1</v>
      </c>
      <c r="M20" s="23">
        <f t="shared" si="2"/>
        <v>4</v>
      </c>
      <c r="N20" s="23">
        <f t="shared" si="2"/>
        <v>2</v>
      </c>
      <c r="O20" s="23">
        <f t="shared" si="2"/>
        <v>1</v>
      </c>
      <c r="P20" s="23">
        <f t="shared" si="2"/>
        <v>3</v>
      </c>
      <c r="Q20" s="23">
        <f t="shared" si="2"/>
        <v>1</v>
      </c>
      <c r="R20" s="23">
        <f t="shared" si="2"/>
        <v>1</v>
      </c>
      <c r="S20" s="23">
        <f t="shared" si="2"/>
        <v>2</v>
      </c>
      <c r="T20" s="23">
        <f t="shared" si="2"/>
        <v>2</v>
      </c>
      <c r="U20" s="23">
        <f t="shared" si="2"/>
        <v>1</v>
      </c>
      <c r="V20" s="23">
        <f t="shared" si="2"/>
        <v>2</v>
      </c>
      <c r="W20" s="23">
        <f t="shared" si="2"/>
        <v>1</v>
      </c>
      <c r="X20" s="23">
        <f t="shared" si="2"/>
        <v>2</v>
      </c>
      <c r="Y20" s="23">
        <f t="shared" ref="Y20:AH20" si="3">SUM(Y6:Y19)</f>
        <v>1</v>
      </c>
      <c r="Z20" s="23">
        <f t="shared" si="3"/>
        <v>1</v>
      </c>
      <c r="AA20" s="23">
        <f t="shared" si="3"/>
        <v>1</v>
      </c>
      <c r="AB20" s="23">
        <f t="shared" si="3"/>
        <v>1</v>
      </c>
      <c r="AC20" s="23">
        <f t="shared" si="3"/>
        <v>2</v>
      </c>
      <c r="AD20" s="23">
        <f t="shared" si="3"/>
        <v>4</v>
      </c>
      <c r="AE20" s="23">
        <f t="shared" si="3"/>
        <v>2</v>
      </c>
      <c r="AF20" s="23">
        <f t="shared" si="3"/>
        <v>1</v>
      </c>
      <c r="AG20" s="23">
        <f t="shared" si="3"/>
        <v>4</v>
      </c>
      <c r="AH20" s="23">
        <f t="shared" si="3"/>
        <v>0</v>
      </c>
      <c r="AI20" s="23">
        <f>SUM(AI6:AI19)</f>
        <v>0</v>
      </c>
      <c r="AJ20" s="23">
        <f>SUM(AJ6:AJ19)</f>
        <v>0</v>
      </c>
      <c r="AK20" s="100">
        <f>SUM(AK6:AK19)</f>
        <v>0</v>
      </c>
      <c r="AL20" s="101">
        <f>SUM(AL6:AL19)</f>
        <v>0</v>
      </c>
      <c r="AM20" s="101">
        <f t="shared" ref="AM20:AU20" si="4">SUM(AM6:AM19)</f>
        <v>0</v>
      </c>
      <c r="AN20" s="101">
        <f t="shared" si="4"/>
        <v>0</v>
      </c>
      <c r="AO20" s="101">
        <f t="shared" si="4"/>
        <v>0</v>
      </c>
      <c r="AP20" s="101">
        <f t="shared" si="4"/>
        <v>0</v>
      </c>
      <c r="AQ20" s="101">
        <f t="shared" si="4"/>
        <v>0</v>
      </c>
      <c r="AR20" s="101">
        <f t="shared" si="4"/>
        <v>0</v>
      </c>
      <c r="AS20" s="101">
        <f t="shared" si="4"/>
        <v>0</v>
      </c>
      <c r="AT20" s="101">
        <f t="shared" si="4"/>
        <v>0</v>
      </c>
      <c r="AU20" s="102">
        <f t="shared" si="4"/>
        <v>0</v>
      </c>
    </row>
    <row r="21" spans="2:47" s="38" customFormat="1" ht="20.100000000000001" customHeight="1" x14ac:dyDescent="0.2">
      <c r="B21" s="141"/>
      <c r="C21" s="142"/>
      <c r="D21" s="145"/>
      <c r="E21" s="147"/>
      <c r="F21" s="126"/>
      <c r="G21" s="126"/>
      <c r="H21" s="46">
        <f>$E6*H6+$E7*H7+$E8*H8+$E9*H9+$E10*H10+$E11*H11+$E12*H12+$E14*H14+$E15*H15+$E16*H16+$E17*H17+$E18*H18+$E19*H19+$E13*H13</f>
        <v>5500</v>
      </c>
      <c r="I21" s="28">
        <f t="shared" ref="I21:AK21" si="5">$E6*I6+$E7*I7+$E8*I8+$E9*I9+$E10*I10+$E11*I11+$E12*I12+$E14*I14+$E15*I15+$E16*I16+$E17*I17+$E18*I18+$E19*I19+$E13*I13</f>
        <v>5500</v>
      </c>
      <c r="J21" s="28">
        <f t="shared" si="5"/>
        <v>5500</v>
      </c>
      <c r="K21" s="28">
        <f t="shared" si="5"/>
        <v>6000</v>
      </c>
      <c r="L21" s="28">
        <f t="shared" si="5"/>
        <v>6000</v>
      </c>
      <c r="M21" s="28">
        <f t="shared" si="5"/>
        <v>21000</v>
      </c>
      <c r="N21" s="28">
        <f t="shared" si="5"/>
        <v>12000</v>
      </c>
      <c r="O21" s="28">
        <f t="shared" si="5"/>
        <v>6500</v>
      </c>
      <c r="P21" s="28">
        <f t="shared" si="5"/>
        <v>18500</v>
      </c>
      <c r="Q21" s="28">
        <f t="shared" si="5"/>
        <v>5500</v>
      </c>
      <c r="R21" s="28">
        <f t="shared" si="5"/>
        <v>5500</v>
      </c>
      <c r="S21" s="28">
        <f t="shared" si="5"/>
        <v>11000</v>
      </c>
      <c r="T21" s="28">
        <f t="shared" si="5"/>
        <v>14000</v>
      </c>
      <c r="U21" s="28">
        <f t="shared" si="5"/>
        <v>5500</v>
      </c>
      <c r="V21" s="28">
        <f t="shared" si="5"/>
        <v>11000</v>
      </c>
      <c r="W21" s="28">
        <f t="shared" si="5"/>
        <v>4000</v>
      </c>
      <c r="X21" s="28">
        <f t="shared" si="5"/>
        <v>11000</v>
      </c>
      <c r="Y21" s="28">
        <f t="shared" si="5"/>
        <v>6000</v>
      </c>
      <c r="Z21" s="28">
        <f t="shared" si="5"/>
        <v>6000</v>
      </c>
      <c r="AA21" s="28">
        <f t="shared" si="5"/>
        <v>5500</v>
      </c>
      <c r="AB21" s="28">
        <f t="shared" si="5"/>
        <v>7000</v>
      </c>
      <c r="AC21" s="28">
        <f t="shared" si="5"/>
        <v>8000</v>
      </c>
      <c r="AD21" s="28">
        <f t="shared" si="5"/>
        <v>23500</v>
      </c>
      <c r="AE21" s="28">
        <f t="shared" si="5"/>
        <v>10500</v>
      </c>
      <c r="AF21" s="28">
        <f t="shared" si="5"/>
        <v>7000</v>
      </c>
      <c r="AG21" s="28">
        <f t="shared" si="5"/>
        <v>19000</v>
      </c>
      <c r="AH21" s="28">
        <f t="shared" si="5"/>
        <v>0</v>
      </c>
      <c r="AI21" s="28">
        <f t="shared" si="5"/>
        <v>0</v>
      </c>
      <c r="AJ21" s="28">
        <f t="shared" si="5"/>
        <v>0</v>
      </c>
      <c r="AK21" s="74">
        <f t="shared" si="5"/>
        <v>0</v>
      </c>
      <c r="AL21" s="28">
        <f>$E6*AL6+$E7*AL7+$E8*AL8+$E9*AL9+$E10*AL10+$E11*AL11+$E12*AL12+$E14*AL14+$E15*AL15+$E16*AL16+$E17*AL17+$E18*AL18+$E19*AL19+$E13*AL13</f>
        <v>0</v>
      </c>
      <c r="AM21" s="28">
        <f>$E6*AM6+$E7*AM7+$E8*AM8+$E9*AM9+$E10*AM10+$E11*AM11+$E12*AM12+$E14*AM14+$E15*AM15+$E16*AM16+$E17*AM17+$E18*AM18+$E19*AM19+$E13*AM13</f>
        <v>0</v>
      </c>
      <c r="AN21" s="28">
        <f>$E6*AN6+$E7*AN7+$E8*AN8+$E9*AN9+$E10*AN10+$E11*AN11+$E12*AN12+$E14*AN14+$E15*AN15+$E16*AN16+$E17*AN17+$E18*AN18+$E19*AN19+$E13*AN13</f>
        <v>0</v>
      </c>
      <c r="AO21" s="28">
        <f t="shared" ref="AO21:AU21" si="6">$E6*AO6+$E7*AO7+$E8*AO8+$E9*AO9+$E10*AO10+$E11*AO11+$E12*AO12+$E14*AO14+$E15*AO15+$E16*AO16+$E17*AO17+$E18*AO18+$E19*AO19+$E13*AO13</f>
        <v>0</v>
      </c>
      <c r="AP21" s="28">
        <f t="shared" si="6"/>
        <v>0</v>
      </c>
      <c r="AQ21" s="28">
        <f t="shared" si="6"/>
        <v>0</v>
      </c>
      <c r="AR21" s="28">
        <f t="shared" si="6"/>
        <v>0</v>
      </c>
      <c r="AS21" s="28">
        <f t="shared" si="6"/>
        <v>0</v>
      </c>
      <c r="AT21" s="28">
        <f t="shared" si="6"/>
        <v>0</v>
      </c>
      <c r="AU21" s="29">
        <f t="shared" si="6"/>
        <v>0</v>
      </c>
    </row>
  </sheetData>
  <sheetProtection password="CC67" sheet="1" objects="1" scenarios="1"/>
  <mergeCells count="10">
    <mergeCell ref="B20:D21"/>
    <mergeCell ref="E20:E21"/>
    <mergeCell ref="F20:F21"/>
    <mergeCell ref="G20:G21"/>
    <mergeCell ref="B2:G2"/>
    <mergeCell ref="B4:B5"/>
    <mergeCell ref="C4:C5"/>
    <mergeCell ref="D4:D5"/>
    <mergeCell ref="E4:E5"/>
    <mergeCell ref="F4:F5"/>
  </mergeCells>
  <phoneticPr fontId="2" type="noConversion"/>
  <pageMargins left="0.7" right="0.7" top="0.75" bottom="0.75" header="0.3" footer="0.3"/>
  <pageSetup paperSize="9" scale="31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B1:AU21"/>
  <sheetViews>
    <sheetView showGridLines="0" zoomScale="85" zoomScaleNormal="85" workbookViewId="0">
      <pane xSplit="7" ySplit="5" topLeftCell="S6" activePane="bottomRight" state="frozen"/>
      <selection pane="topRight" activeCell="G1" sqref="G1"/>
      <selection pane="bottomLeft" activeCell="A6" sqref="A6"/>
      <selection pane="bottomRight" activeCell="X15" sqref="X15"/>
    </sheetView>
  </sheetViews>
  <sheetFormatPr defaultColWidth="9.125" defaultRowHeight="14.25" x14ac:dyDescent="0.2"/>
  <cols>
    <col min="1" max="1" width="0.375" style="1" customWidth="1"/>
    <col min="2" max="2" width="16.875" style="1" bestFit="1" customWidth="1"/>
    <col min="3" max="4" width="13.625" style="1" customWidth="1"/>
    <col min="5" max="5" width="10.625" style="1" hidden="1" customWidth="1"/>
    <col min="6" max="6" width="10.625" style="1" customWidth="1"/>
    <col min="7" max="7" width="10.625" style="3" customWidth="1"/>
    <col min="8" max="22" width="10.625" style="4" customWidth="1"/>
    <col min="23" max="47" width="10.625" style="1" customWidth="1"/>
    <col min="48" max="16384" width="9.125" style="1"/>
  </cols>
  <sheetData>
    <row r="1" spans="2:47" ht="3.75" customHeight="1" x14ac:dyDescent="0.2"/>
    <row r="2" spans="2:47" ht="20.25" x14ac:dyDescent="0.2">
      <c r="B2" s="149" t="s">
        <v>26</v>
      </c>
      <c r="C2" s="149"/>
      <c r="D2" s="149"/>
      <c r="E2" s="149"/>
      <c r="F2" s="149"/>
      <c r="G2" s="149"/>
    </row>
    <row r="3" spans="2:47" ht="4.9000000000000004" customHeight="1" x14ac:dyDescent="0.2"/>
    <row r="4" spans="2:47" s="38" customFormat="1" ht="20.100000000000001" customHeight="1" x14ac:dyDescent="0.2">
      <c r="B4" s="150" t="s">
        <v>3</v>
      </c>
      <c r="C4" s="123" t="s">
        <v>45</v>
      </c>
      <c r="D4" s="153" t="s">
        <v>46</v>
      </c>
      <c r="E4" s="135" t="s">
        <v>4</v>
      </c>
      <c r="F4" s="129" t="s">
        <v>5</v>
      </c>
      <c r="G4" s="32" t="s">
        <v>0</v>
      </c>
      <c r="H4" s="33">
        <v>1</v>
      </c>
      <c r="I4" s="34">
        <v>2</v>
      </c>
      <c r="J4" s="34">
        <v>3</v>
      </c>
      <c r="K4" s="34">
        <v>4</v>
      </c>
      <c r="L4" s="34">
        <v>5</v>
      </c>
      <c r="M4" s="34">
        <v>6</v>
      </c>
      <c r="N4" s="34">
        <v>7</v>
      </c>
      <c r="O4" s="34">
        <v>8</v>
      </c>
      <c r="P4" s="34">
        <v>9</v>
      </c>
      <c r="Q4" s="34">
        <v>10</v>
      </c>
      <c r="R4" s="34">
        <v>11</v>
      </c>
      <c r="S4" s="34">
        <v>12</v>
      </c>
      <c r="T4" s="34">
        <v>13</v>
      </c>
      <c r="U4" s="34">
        <v>14</v>
      </c>
      <c r="V4" s="34">
        <v>15</v>
      </c>
      <c r="W4" s="34">
        <v>16</v>
      </c>
      <c r="X4" s="34">
        <v>17</v>
      </c>
      <c r="Y4" s="33">
        <v>18</v>
      </c>
      <c r="Z4" s="34">
        <v>19</v>
      </c>
      <c r="AA4" s="34">
        <v>20</v>
      </c>
      <c r="AB4" s="34">
        <v>21</v>
      </c>
      <c r="AC4" s="34">
        <v>22</v>
      </c>
      <c r="AD4" s="34">
        <v>23</v>
      </c>
      <c r="AE4" s="34">
        <v>24</v>
      </c>
      <c r="AF4" s="34">
        <v>25</v>
      </c>
      <c r="AG4" s="34">
        <v>26</v>
      </c>
      <c r="AH4" s="34">
        <v>27</v>
      </c>
      <c r="AI4" s="34">
        <v>28</v>
      </c>
      <c r="AJ4" s="34">
        <v>29</v>
      </c>
      <c r="AK4" s="96">
        <v>30</v>
      </c>
      <c r="AL4" s="34">
        <v>31</v>
      </c>
      <c r="AM4" s="34">
        <v>32</v>
      </c>
      <c r="AN4" s="34">
        <v>33</v>
      </c>
      <c r="AO4" s="34">
        <v>34</v>
      </c>
      <c r="AP4" s="34">
        <v>35</v>
      </c>
      <c r="AQ4" s="34">
        <v>36</v>
      </c>
      <c r="AR4" s="34">
        <v>37</v>
      </c>
      <c r="AS4" s="34">
        <v>38</v>
      </c>
      <c r="AT4" s="34">
        <v>39</v>
      </c>
      <c r="AU4" s="35">
        <v>40</v>
      </c>
    </row>
    <row r="5" spans="2:47" s="38" customFormat="1" ht="20.100000000000001" customHeight="1" x14ac:dyDescent="0.2">
      <c r="B5" s="151"/>
      <c r="C5" s="152"/>
      <c r="D5" s="154"/>
      <c r="E5" s="136"/>
      <c r="F5" s="130"/>
      <c r="G5" s="36" t="s">
        <v>1</v>
      </c>
      <c r="H5" s="37">
        <v>1006</v>
      </c>
      <c r="I5" s="37">
        <v>1125</v>
      </c>
      <c r="J5" s="37">
        <v>1430</v>
      </c>
      <c r="K5" s="37">
        <v>1220</v>
      </c>
      <c r="L5" s="37">
        <v>712</v>
      </c>
      <c r="M5" s="37">
        <v>1101</v>
      </c>
      <c r="N5" s="37">
        <v>1725</v>
      </c>
      <c r="O5" s="37">
        <v>1430</v>
      </c>
      <c r="P5" s="37">
        <v>631</v>
      </c>
      <c r="Q5" s="37">
        <v>1114</v>
      </c>
      <c r="R5" s="37">
        <v>617</v>
      </c>
      <c r="S5" s="37">
        <v>916</v>
      </c>
      <c r="T5" s="37">
        <v>1103</v>
      </c>
      <c r="U5" s="37">
        <v>1418</v>
      </c>
      <c r="V5" s="37">
        <v>826</v>
      </c>
      <c r="W5" s="37">
        <v>825</v>
      </c>
      <c r="X5" s="37">
        <v>1520</v>
      </c>
      <c r="Y5" s="37">
        <v>1427</v>
      </c>
      <c r="Z5" s="37">
        <v>622</v>
      </c>
      <c r="AA5" s="37">
        <v>1017</v>
      </c>
      <c r="AB5" s="37">
        <v>1420</v>
      </c>
      <c r="AC5" s="37">
        <v>1206</v>
      </c>
      <c r="AD5" s="37">
        <v>1231</v>
      </c>
      <c r="AE5" s="37">
        <v>1705</v>
      </c>
      <c r="AF5" s="37">
        <v>605</v>
      </c>
      <c r="AG5" s="37">
        <v>1219</v>
      </c>
      <c r="AH5" s="37">
        <v>717</v>
      </c>
      <c r="AI5" s="37">
        <v>1431</v>
      </c>
      <c r="AJ5" s="37">
        <v>922</v>
      </c>
      <c r="AK5" s="94"/>
      <c r="AL5" s="7"/>
      <c r="AM5" s="7"/>
      <c r="AN5" s="7"/>
      <c r="AO5" s="7"/>
      <c r="AP5" s="7"/>
      <c r="AQ5" s="7"/>
      <c r="AR5" s="7"/>
      <c r="AS5" s="7"/>
      <c r="AT5" s="7"/>
      <c r="AU5" s="9"/>
    </row>
    <row r="6" spans="2:47" s="38" customFormat="1" ht="30" customHeight="1" x14ac:dyDescent="0.2">
      <c r="B6" s="77" t="s">
        <v>12</v>
      </c>
      <c r="C6" s="62" t="s">
        <v>67</v>
      </c>
      <c r="D6" s="35"/>
      <c r="E6" s="39">
        <v>6000</v>
      </c>
      <c r="F6" s="12">
        <f>E6*G6</f>
        <v>42000</v>
      </c>
      <c r="G6" s="95">
        <f t="shared" ref="G6:G19" si="0">SUM(H6:AU6)</f>
        <v>7</v>
      </c>
      <c r="H6" s="40"/>
      <c r="I6" s="40"/>
      <c r="J6" s="40"/>
      <c r="K6" s="40"/>
      <c r="L6" s="40"/>
      <c r="M6" s="40"/>
      <c r="N6" s="40"/>
      <c r="O6" s="40">
        <v>1</v>
      </c>
      <c r="P6" s="40"/>
      <c r="Q6" s="40">
        <v>1</v>
      </c>
      <c r="R6" s="40"/>
      <c r="S6" s="40"/>
      <c r="T6" s="40"/>
      <c r="U6" s="40">
        <v>1</v>
      </c>
      <c r="V6" s="40"/>
      <c r="W6" s="40"/>
      <c r="X6" s="40"/>
      <c r="Y6" s="40">
        <v>1</v>
      </c>
      <c r="Z6" s="40"/>
      <c r="AA6" s="40">
        <v>1</v>
      </c>
      <c r="AB6" s="40"/>
      <c r="AC6" s="40"/>
      <c r="AD6" s="40"/>
      <c r="AE6" s="40"/>
      <c r="AF6" s="40">
        <v>1</v>
      </c>
      <c r="AG6" s="40">
        <v>1</v>
      </c>
      <c r="AH6" s="40"/>
      <c r="AI6" s="40"/>
      <c r="AJ6" s="40"/>
      <c r="AK6" s="97"/>
      <c r="AL6" s="40"/>
      <c r="AM6" s="40"/>
      <c r="AN6" s="40"/>
      <c r="AO6" s="40"/>
      <c r="AP6" s="40"/>
      <c r="AQ6" s="40"/>
      <c r="AR6" s="40"/>
      <c r="AS6" s="40"/>
      <c r="AT6" s="40"/>
      <c r="AU6" s="41"/>
    </row>
    <row r="7" spans="2:47" s="38" customFormat="1" ht="30" customHeight="1" x14ac:dyDescent="0.2">
      <c r="B7" s="78" t="s">
        <v>13</v>
      </c>
      <c r="C7" s="63" t="s">
        <v>67</v>
      </c>
      <c r="D7" s="64"/>
      <c r="E7" s="42">
        <v>6500</v>
      </c>
      <c r="F7" s="18">
        <f t="shared" ref="F7:F19" si="1">E7*G7</f>
        <v>52000</v>
      </c>
      <c r="G7" s="95">
        <f t="shared" si="0"/>
        <v>8</v>
      </c>
      <c r="H7" s="43"/>
      <c r="I7" s="43"/>
      <c r="J7" s="43"/>
      <c r="K7" s="43">
        <v>1</v>
      </c>
      <c r="L7" s="43"/>
      <c r="M7" s="43"/>
      <c r="N7" s="43"/>
      <c r="O7" s="43"/>
      <c r="P7" s="43"/>
      <c r="Q7" s="43">
        <v>1</v>
      </c>
      <c r="R7" s="43"/>
      <c r="S7" s="43"/>
      <c r="T7" s="43">
        <v>1</v>
      </c>
      <c r="U7" s="43">
        <v>1</v>
      </c>
      <c r="V7" s="43"/>
      <c r="W7" s="43"/>
      <c r="X7" s="43"/>
      <c r="Y7" s="43">
        <v>1</v>
      </c>
      <c r="Z7" s="43"/>
      <c r="AA7" s="43">
        <v>1</v>
      </c>
      <c r="AB7" s="43"/>
      <c r="AC7" s="43"/>
      <c r="AD7" s="43"/>
      <c r="AE7" s="43">
        <v>1</v>
      </c>
      <c r="AF7" s="43"/>
      <c r="AG7" s="43">
        <v>1</v>
      </c>
      <c r="AH7" s="43"/>
      <c r="AI7" s="43"/>
      <c r="AJ7" s="43"/>
      <c r="AK7" s="98"/>
      <c r="AL7" s="43"/>
      <c r="AM7" s="43"/>
      <c r="AN7" s="43"/>
      <c r="AO7" s="43"/>
      <c r="AP7" s="43"/>
      <c r="AQ7" s="43"/>
      <c r="AR7" s="43"/>
      <c r="AS7" s="43"/>
      <c r="AT7" s="43"/>
      <c r="AU7" s="44"/>
    </row>
    <row r="8" spans="2:47" s="38" customFormat="1" ht="30" customHeight="1" x14ac:dyDescent="0.2">
      <c r="B8" s="78" t="s">
        <v>14</v>
      </c>
      <c r="C8" s="63" t="s">
        <v>76</v>
      </c>
      <c r="D8" s="64"/>
      <c r="E8" s="42">
        <v>7000</v>
      </c>
      <c r="F8" s="18">
        <f t="shared" si="1"/>
        <v>21000</v>
      </c>
      <c r="G8" s="95">
        <f t="shared" si="0"/>
        <v>3</v>
      </c>
      <c r="H8" s="43">
        <v>1</v>
      </c>
      <c r="I8" s="43"/>
      <c r="J8" s="43"/>
      <c r="K8" s="43"/>
      <c r="L8" s="43"/>
      <c r="M8" s="43">
        <v>1</v>
      </c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>
        <v>1</v>
      </c>
      <c r="AF8" s="43"/>
      <c r="AG8" s="43"/>
      <c r="AH8" s="43"/>
      <c r="AI8" s="43"/>
      <c r="AJ8" s="43"/>
      <c r="AK8" s="98"/>
      <c r="AL8" s="43"/>
      <c r="AM8" s="43"/>
      <c r="AN8" s="43"/>
      <c r="AO8" s="43"/>
      <c r="AP8" s="43"/>
      <c r="AQ8" s="43"/>
      <c r="AR8" s="43"/>
      <c r="AS8" s="43"/>
      <c r="AT8" s="43"/>
      <c r="AU8" s="44"/>
    </row>
    <row r="9" spans="2:47" s="38" customFormat="1" ht="30" customHeight="1" x14ac:dyDescent="0.2">
      <c r="B9" s="78" t="s">
        <v>15</v>
      </c>
      <c r="C9" s="63" t="s">
        <v>57</v>
      </c>
      <c r="D9" s="64"/>
      <c r="E9" s="42">
        <v>5500</v>
      </c>
      <c r="F9" s="18">
        <f t="shared" si="1"/>
        <v>88000</v>
      </c>
      <c r="G9" s="95">
        <f t="shared" si="0"/>
        <v>16</v>
      </c>
      <c r="H9" s="43">
        <v>1</v>
      </c>
      <c r="I9" s="43">
        <v>1</v>
      </c>
      <c r="J9" s="43"/>
      <c r="K9" s="43"/>
      <c r="L9" s="43">
        <v>2</v>
      </c>
      <c r="M9" s="43"/>
      <c r="N9" s="43"/>
      <c r="O9" s="43"/>
      <c r="P9" s="43">
        <v>1</v>
      </c>
      <c r="Q9" s="43"/>
      <c r="R9" s="43"/>
      <c r="S9" s="43">
        <v>1</v>
      </c>
      <c r="T9" s="43"/>
      <c r="U9" s="43">
        <v>1</v>
      </c>
      <c r="V9" s="43"/>
      <c r="W9" s="43">
        <v>2</v>
      </c>
      <c r="X9" s="43"/>
      <c r="Y9" s="43"/>
      <c r="Z9" s="43">
        <v>1</v>
      </c>
      <c r="AA9" s="43">
        <v>1</v>
      </c>
      <c r="AB9" s="43"/>
      <c r="AC9" s="43"/>
      <c r="AD9" s="43">
        <v>1</v>
      </c>
      <c r="AE9" s="43"/>
      <c r="AF9" s="43"/>
      <c r="AG9" s="43">
        <v>2</v>
      </c>
      <c r="AH9" s="43"/>
      <c r="AI9" s="43"/>
      <c r="AJ9" s="43">
        <v>2</v>
      </c>
      <c r="AK9" s="98"/>
      <c r="AL9" s="43"/>
      <c r="AM9" s="43"/>
      <c r="AN9" s="43"/>
      <c r="AO9" s="43"/>
      <c r="AP9" s="43"/>
      <c r="AQ9" s="43"/>
      <c r="AR9" s="43"/>
      <c r="AS9" s="43"/>
      <c r="AT9" s="43"/>
      <c r="AU9" s="44"/>
    </row>
    <row r="10" spans="2:47" s="38" customFormat="1" ht="30" customHeight="1" x14ac:dyDescent="0.2">
      <c r="B10" s="78" t="s">
        <v>16</v>
      </c>
      <c r="C10" s="63" t="s">
        <v>69</v>
      </c>
      <c r="D10" s="64"/>
      <c r="E10" s="42">
        <v>4000</v>
      </c>
      <c r="F10" s="18">
        <f t="shared" si="1"/>
        <v>8000</v>
      </c>
      <c r="G10" s="95">
        <f t="shared" si="0"/>
        <v>2</v>
      </c>
      <c r="H10" s="43"/>
      <c r="I10" s="43"/>
      <c r="J10" s="43"/>
      <c r="K10" s="43"/>
      <c r="L10" s="43"/>
      <c r="M10" s="43"/>
      <c r="N10" s="43"/>
      <c r="O10" s="43"/>
      <c r="P10" s="43"/>
      <c r="Q10" s="43">
        <v>1</v>
      </c>
      <c r="R10" s="43"/>
      <c r="S10" s="43"/>
      <c r="T10" s="43"/>
      <c r="U10" s="43"/>
      <c r="V10" s="43"/>
      <c r="W10" s="43"/>
      <c r="X10" s="43"/>
      <c r="Y10" s="43">
        <v>1</v>
      </c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98"/>
      <c r="AL10" s="43"/>
      <c r="AM10" s="43"/>
      <c r="AN10" s="43"/>
      <c r="AO10" s="43"/>
      <c r="AP10" s="43"/>
      <c r="AQ10" s="43"/>
      <c r="AR10" s="43"/>
      <c r="AS10" s="43"/>
      <c r="AT10" s="43"/>
      <c r="AU10" s="44"/>
    </row>
    <row r="11" spans="2:47" s="38" customFormat="1" ht="30" customHeight="1" x14ac:dyDescent="0.2">
      <c r="B11" s="78" t="s">
        <v>17</v>
      </c>
      <c r="C11" s="63" t="s">
        <v>72</v>
      </c>
      <c r="D11" s="64"/>
      <c r="E11" s="42">
        <v>4000</v>
      </c>
      <c r="F11" s="18">
        <f t="shared" si="1"/>
        <v>16000</v>
      </c>
      <c r="G11" s="95">
        <f t="shared" si="0"/>
        <v>4</v>
      </c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>
        <v>1</v>
      </c>
      <c r="Z11" s="43"/>
      <c r="AA11" s="43"/>
      <c r="AB11" s="43"/>
      <c r="AC11" s="43">
        <v>1</v>
      </c>
      <c r="AD11" s="43"/>
      <c r="AE11" s="43"/>
      <c r="AF11" s="43">
        <v>1</v>
      </c>
      <c r="AG11" s="43"/>
      <c r="AH11" s="43"/>
      <c r="AI11" s="43">
        <v>1</v>
      </c>
      <c r="AJ11" s="43"/>
      <c r="AK11" s="98"/>
      <c r="AL11" s="43"/>
      <c r="AM11" s="43"/>
      <c r="AN11" s="43"/>
      <c r="AO11" s="43"/>
      <c r="AP11" s="43"/>
      <c r="AQ11" s="43"/>
      <c r="AR11" s="43"/>
      <c r="AS11" s="43"/>
      <c r="AT11" s="43"/>
      <c r="AU11" s="44"/>
    </row>
    <row r="12" spans="2:47" s="38" customFormat="1" ht="30" customHeight="1" x14ac:dyDescent="0.2">
      <c r="B12" s="78" t="s">
        <v>18</v>
      </c>
      <c r="C12" s="63" t="s">
        <v>60</v>
      </c>
      <c r="D12" s="64" t="s">
        <v>73</v>
      </c>
      <c r="E12" s="42">
        <v>4000</v>
      </c>
      <c r="F12" s="18">
        <f t="shared" si="1"/>
        <v>20000</v>
      </c>
      <c r="G12" s="95">
        <f t="shared" si="0"/>
        <v>5</v>
      </c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>
        <v>1</v>
      </c>
      <c r="S12" s="43"/>
      <c r="T12" s="43"/>
      <c r="U12" s="43"/>
      <c r="V12" s="43">
        <v>1</v>
      </c>
      <c r="W12" s="43"/>
      <c r="X12" s="43"/>
      <c r="Y12" s="43">
        <v>1</v>
      </c>
      <c r="Z12" s="43"/>
      <c r="AA12" s="43"/>
      <c r="AB12" s="43"/>
      <c r="AC12" s="43"/>
      <c r="AD12" s="43"/>
      <c r="AE12" s="43"/>
      <c r="AF12" s="43"/>
      <c r="AG12" s="43"/>
      <c r="AH12" s="43">
        <v>1</v>
      </c>
      <c r="AI12" s="43">
        <v>1</v>
      </c>
      <c r="AJ12" s="43"/>
      <c r="AK12" s="98"/>
      <c r="AL12" s="43"/>
      <c r="AM12" s="43"/>
      <c r="AN12" s="43"/>
      <c r="AO12" s="43"/>
      <c r="AP12" s="43"/>
      <c r="AQ12" s="43"/>
      <c r="AR12" s="43"/>
      <c r="AS12" s="43"/>
      <c r="AT12" s="43"/>
      <c r="AU12" s="44"/>
    </row>
    <row r="13" spans="2:47" s="38" customFormat="1" ht="30" customHeight="1" x14ac:dyDescent="0.2">
      <c r="B13" s="78" t="s">
        <v>19</v>
      </c>
      <c r="C13" s="63" t="s">
        <v>59</v>
      </c>
      <c r="D13" s="64"/>
      <c r="E13" s="42">
        <v>5000</v>
      </c>
      <c r="F13" s="18">
        <f t="shared" si="1"/>
        <v>10000</v>
      </c>
      <c r="G13" s="95">
        <f t="shared" si="0"/>
        <v>2</v>
      </c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>
        <v>1</v>
      </c>
      <c r="X13" s="45">
        <v>1</v>
      </c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99"/>
      <c r="AL13" s="43"/>
      <c r="AM13" s="43"/>
      <c r="AN13" s="43"/>
      <c r="AO13" s="43"/>
      <c r="AP13" s="43"/>
      <c r="AQ13" s="43"/>
      <c r="AR13" s="43"/>
      <c r="AS13" s="43"/>
      <c r="AT13" s="43"/>
      <c r="AU13" s="44"/>
    </row>
    <row r="14" spans="2:47" s="38" customFormat="1" ht="30" customHeight="1" x14ac:dyDescent="0.2">
      <c r="B14" s="78" t="s">
        <v>20</v>
      </c>
      <c r="C14" s="63" t="s">
        <v>66</v>
      </c>
      <c r="D14" s="64"/>
      <c r="E14" s="42">
        <v>7000</v>
      </c>
      <c r="F14" s="18">
        <f t="shared" si="1"/>
        <v>21000</v>
      </c>
      <c r="G14" s="95">
        <f t="shared" si="0"/>
        <v>3</v>
      </c>
      <c r="H14" s="43"/>
      <c r="I14" s="43"/>
      <c r="J14" s="43">
        <v>1</v>
      </c>
      <c r="K14" s="43"/>
      <c r="L14" s="43"/>
      <c r="M14" s="43"/>
      <c r="N14" s="43">
        <v>1</v>
      </c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>
        <v>1</v>
      </c>
      <c r="AC14" s="43"/>
      <c r="AD14" s="43"/>
      <c r="AE14" s="43"/>
      <c r="AF14" s="43"/>
      <c r="AG14" s="43"/>
      <c r="AH14" s="43"/>
      <c r="AI14" s="43"/>
      <c r="AJ14" s="43"/>
      <c r="AK14" s="98"/>
      <c r="AL14" s="43"/>
      <c r="AM14" s="43"/>
      <c r="AN14" s="43"/>
      <c r="AO14" s="43"/>
      <c r="AP14" s="43"/>
      <c r="AQ14" s="43"/>
      <c r="AR14" s="43"/>
      <c r="AS14" s="43"/>
      <c r="AT14" s="43"/>
      <c r="AU14" s="44"/>
    </row>
    <row r="15" spans="2:47" s="38" customFormat="1" ht="30" customHeight="1" x14ac:dyDescent="0.2">
      <c r="B15" s="78" t="s">
        <v>21</v>
      </c>
      <c r="C15" s="63" t="s">
        <v>75</v>
      </c>
      <c r="D15" s="64"/>
      <c r="E15" s="42">
        <v>7000</v>
      </c>
      <c r="F15" s="18">
        <f t="shared" si="1"/>
        <v>14000</v>
      </c>
      <c r="G15" s="95">
        <f t="shared" si="0"/>
        <v>2</v>
      </c>
      <c r="H15" s="43"/>
      <c r="I15" s="43"/>
      <c r="J15" s="43">
        <v>1</v>
      </c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>
        <v>1</v>
      </c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98"/>
      <c r="AL15" s="43"/>
      <c r="AM15" s="43"/>
      <c r="AN15" s="43"/>
      <c r="AO15" s="43"/>
      <c r="AP15" s="43"/>
      <c r="AQ15" s="43"/>
      <c r="AR15" s="43"/>
      <c r="AS15" s="43"/>
      <c r="AT15" s="43"/>
      <c r="AU15" s="44"/>
    </row>
    <row r="16" spans="2:47" s="38" customFormat="1" ht="30" customHeight="1" x14ac:dyDescent="0.2">
      <c r="B16" s="78" t="s">
        <v>22</v>
      </c>
      <c r="C16" s="63"/>
      <c r="D16" s="64"/>
      <c r="E16" s="42">
        <v>7000</v>
      </c>
      <c r="F16" s="18">
        <f t="shared" si="1"/>
        <v>0</v>
      </c>
      <c r="G16" s="95">
        <f t="shared" si="0"/>
        <v>0</v>
      </c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98"/>
      <c r="AL16" s="43"/>
      <c r="AM16" s="43"/>
      <c r="AN16" s="43"/>
      <c r="AO16" s="43"/>
      <c r="AP16" s="43"/>
      <c r="AQ16" s="43"/>
      <c r="AR16" s="43"/>
      <c r="AS16" s="43"/>
      <c r="AT16" s="43"/>
      <c r="AU16" s="44"/>
    </row>
    <row r="17" spans="2:47" s="38" customFormat="1" ht="30" customHeight="1" x14ac:dyDescent="0.2">
      <c r="B17" s="78" t="s">
        <v>23</v>
      </c>
      <c r="C17" s="63"/>
      <c r="D17" s="64"/>
      <c r="E17" s="42">
        <v>7000</v>
      </c>
      <c r="F17" s="18">
        <f t="shared" si="1"/>
        <v>0</v>
      </c>
      <c r="G17" s="95">
        <f t="shared" si="0"/>
        <v>0</v>
      </c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98"/>
      <c r="AL17" s="43"/>
      <c r="AM17" s="43"/>
      <c r="AN17" s="43"/>
      <c r="AO17" s="43"/>
      <c r="AP17" s="43"/>
      <c r="AQ17" s="43"/>
      <c r="AR17" s="43"/>
      <c r="AS17" s="43"/>
      <c r="AT17" s="43"/>
      <c r="AU17" s="44"/>
    </row>
    <row r="18" spans="2:47" s="38" customFormat="1" ht="30" customHeight="1" x14ac:dyDescent="0.2">
      <c r="B18" s="78" t="s">
        <v>24</v>
      </c>
      <c r="C18" s="63"/>
      <c r="D18" s="64"/>
      <c r="E18" s="42">
        <v>7000</v>
      </c>
      <c r="F18" s="18">
        <f t="shared" si="1"/>
        <v>0</v>
      </c>
      <c r="G18" s="95">
        <f t="shared" si="0"/>
        <v>0</v>
      </c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99"/>
      <c r="AL18" s="43"/>
      <c r="AM18" s="43"/>
      <c r="AN18" s="43"/>
      <c r="AO18" s="43"/>
      <c r="AP18" s="43"/>
      <c r="AQ18" s="43"/>
      <c r="AR18" s="43"/>
      <c r="AS18" s="43"/>
      <c r="AT18" s="43"/>
      <c r="AU18" s="44"/>
    </row>
    <row r="19" spans="2:47" s="38" customFormat="1" ht="30" customHeight="1" x14ac:dyDescent="0.2">
      <c r="B19" s="79" t="s">
        <v>25</v>
      </c>
      <c r="C19" s="65"/>
      <c r="D19" s="9"/>
      <c r="E19" s="61">
        <v>7000</v>
      </c>
      <c r="F19" s="50">
        <f t="shared" si="1"/>
        <v>0</v>
      </c>
      <c r="G19" s="95">
        <f t="shared" si="0"/>
        <v>0</v>
      </c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98"/>
      <c r="AL19" s="45"/>
      <c r="AM19" s="45"/>
      <c r="AN19" s="45"/>
      <c r="AO19" s="45"/>
      <c r="AP19" s="45"/>
      <c r="AQ19" s="45"/>
      <c r="AR19" s="45"/>
      <c r="AS19" s="45"/>
      <c r="AT19" s="45"/>
      <c r="AU19" s="60"/>
    </row>
    <row r="20" spans="2:47" s="38" customFormat="1" ht="20.100000000000001" customHeight="1" x14ac:dyDescent="0.2">
      <c r="B20" s="139" t="s">
        <v>8</v>
      </c>
      <c r="C20" s="140"/>
      <c r="D20" s="144"/>
      <c r="E20" s="146">
        <f>SUM(E6:E8,E10:E15)+E9*2</f>
        <v>61500</v>
      </c>
      <c r="F20" s="125">
        <f t="shared" ref="F20:X20" si="2">SUM(F6:F19)</f>
        <v>292000</v>
      </c>
      <c r="G20" s="125">
        <f t="shared" si="2"/>
        <v>52</v>
      </c>
      <c r="H20" s="23">
        <f t="shared" si="2"/>
        <v>2</v>
      </c>
      <c r="I20" s="23">
        <f t="shared" si="2"/>
        <v>1</v>
      </c>
      <c r="J20" s="23">
        <f t="shared" si="2"/>
        <v>2</v>
      </c>
      <c r="K20" s="23">
        <f t="shared" si="2"/>
        <v>1</v>
      </c>
      <c r="L20" s="23">
        <f t="shared" si="2"/>
        <v>2</v>
      </c>
      <c r="M20" s="23">
        <f t="shared" si="2"/>
        <v>1</v>
      </c>
      <c r="N20" s="23">
        <f t="shared" si="2"/>
        <v>1</v>
      </c>
      <c r="O20" s="23">
        <f t="shared" si="2"/>
        <v>1</v>
      </c>
      <c r="P20" s="23">
        <f t="shared" si="2"/>
        <v>1</v>
      </c>
      <c r="Q20" s="23">
        <f t="shared" si="2"/>
        <v>3</v>
      </c>
      <c r="R20" s="23">
        <f t="shared" si="2"/>
        <v>1</v>
      </c>
      <c r="S20" s="23">
        <f t="shared" si="2"/>
        <v>1</v>
      </c>
      <c r="T20" s="23">
        <f t="shared" si="2"/>
        <v>1</v>
      </c>
      <c r="U20" s="23">
        <f t="shared" si="2"/>
        <v>3</v>
      </c>
      <c r="V20" s="23">
        <f t="shared" si="2"/>
        <v>2</v>
      </c>
      <c r="W20" s="23">
        <f t="shared" si="2"/>
        <v>3</v>
      </c>
      <c r="X20" s="23">
        <f t="shared" si="2"/>
        <v>1</v>
      </c>
      <c r="Y20" s="23">
        <f t="shared" ref="Y20:AH20" si="3">SUM(Y6:Y19)</f>
        <v>5</v>
      </c>
      <c r="Z20" s="23">
        <f t="shared" si="3"/>
        <v>1</v>
      </c>
      <c r="AA20" s="23">
        <f t="shared" si="3"/>
        <v>3</v>
      </c>
      <c r="AB20" s="23">
        <f t="shared" si="3"/>
        <v>1</v>
      </c>
      <c r="AC20" s="23">
        <f t="shared" si="3"/>
        <v>1</v>
      </c>
      <c r="AD20" s="23">
        <f t="shared" si="3"/>
        <v>1</v>
      </c>
      <c r="AE20" s="23">
        <f t="shared" si="3"/>
        <v>2</v>
      </c>
      <c r="AF20" s="23">
        <f t="shared" si="3"/>
        <v>2</v>
      </c>
      <c r="AG20" s="23">
        <f t="shared" si="3"/>
        <v>4</v>
      </c>
      <c r="AH20" s="23">
        <f t="shared" si="3"/>
        <v>1</v>
      </c>
      <c r="AI20" s="23">
        <f>SUM(AI6:AI19)</f>
        <v>2</v>
      </c>
      <c r="AJ20" s="23">
        <f>SUM(AJ6:AJ19)</f>
        <v>2</v>
      </c>
      <c r="AK20" s="100">
        <f>SUM(AK6:AK19)</f>
        <v>0</v>
      </c>
      <c r="AL20" s="101">
        <f>SUM(AL6:AL19)</f>
        <v>0</v>
      </c>
      <c r="AM20" s="101">
        <f t="shared" ref="AM20:AU20" si="4">SUM(AM6:AM19)</f>
        <v>0</v>
      </c>
      <c r="AN20" s="101">
        <f t="shared" si="4"/>
        <v>0</v>
      </c>
      <c r="AO20" s="101">
        <f t="shared" si="4"/>
        <v>0</v>
      </c>
      <c r="AP20" s="101">
        <f t="shared" si="4"/>
        <v>0</v>
      </c>
      <c r="AQ20" s="101">
        <f t="shared" si="4"/>
        <v>0</v>
      </c>
      <c r="AR20" s="101">
        <f t="shared" si="4"/>
        <v>0</v>
      </c>
      <c r="AS20" s="101">
        <f t="shared" si="4"/>
        <v>0</v>
      </c>
      <c r="AT20" s="101">
        <f t="shared" si="4"/>
        <v>0</v>
      </c>
      <c r="AU20" s="102">
        <f t="shared" si="4"/>
        <v>0</v>
      </c>
    </row>
    <row r="21" spans="2:47" s="38" customFormat="1" ht="20.100000000000001" customHeight="1" x14ac:dyDescent="0.2">
      <c r="B21" s="141"/>
      <c r="C21" s="142"/>
      <c r="D21" s="145"/>
      <c r="E21" s="147"/>
      <c r="F21" s="126"/>
      <c r="G21" s="126"/>
      <c r="H21" s="46">
        <f>$E6*H6+$E7*H7+$E8*H8+$E9*H9+$E10*H10+$E11*H11+$E12*H12+$E14*H14+$E15*H15+$E16*H16+$E17*H17+$E18*H18+$E19*H19+$E13*H13</f>
        <v>12500</v>
      </c>
      <c r="I21" s="28">
        <f t="shared" ref="I21:AK21" si="5">$E6*I6+$E7*I7+$E8*I8+$E9*I9+$E10*I10+$E11*I11+$E12*I12+$E14*I14+$E15*I15+$E16*I16+$E17*I17+$E18*I18+$E19*I19+$E13*I13</f>
        <v>5500</v>
      </c>
      <c r="J21" s="28">
        <f t="shared" si="5"/>
        <v>14000</v>
      </c>
      <c r="K21" s="28">
        <f t="shared" si="5"/>
        <v>6500</v>
      </c>
      <c r="L21" s="28">
        <f t="shared" si="5"/>
        <v>11000</v>
      </c>
      <c r="M21" s="28">
        <f t="shared" si="5"/>
        <v>7000</v>
      </c>
      <c r="N21" s="28">
        <f t="shared" si="5"/>
        <v>7000</v>
      </c>
      <c r="O21" s="28">
        <f t="shared" si="5"/>
        <v>6000</v>
      </c>
      <c r="P21" s="28">
        <f t="shared" si="5"/>
        <v>5500</v>
      </c>
      <c r="Q21" s="28">
        <f t="shared" si="5"/>
        <v>16500</v>
      </c>
      <c r="R21" s="28">
        <f t="shared" si="5"/>
        <v>4000</v>
      </c>
      <c r="S21" s="28">
        <f t="shared" si="5"/>
        <v>5500</v>
      </c>
      <c r="T21" s="28">
        <f t="shared" si="5"/>
        <v>6500</v>
      </c>
      <c r="U21" s="28">
        <f t="shared" si="5"/>
        <v>18000</v>
      </c>
      <c r="V21" s="28">
        <f t="shared" si="5"/>
        <v>11000</v>
      </c>
      <c r="W21" s="28">
        <f t="shared" si="5"/>
        <v>16000</v>
      </c>
      <c r="X21" s="28">
        <f t="shared" si="5"/>
        <v>5000</v>
      </c>
      <c r="Y21" s="28">
        <f t="shared" si="5"/>
        <v>24500</v>
      </c>
      <c r="Z21" s="28">
        <f t="shared" si="5"/>
        <v>5500</v>
      </c>
      <c r="AA21" s="28">
        <f t="shared" si="5"/>
        <v>18000</v>
      </c>
      <c r="AB21" s="28">
        <f t="shared" si="5"/>
        <v>7000</v>
      </c>
      <c r="AC21" s="28">
        <f t="shared" si="5"/>
        <v>4000</v>
      </c>
      <c r="AD21" s="28">
        <f t="shared" si="5"/>
        <v>5500</v>
      </c>
      <c r="AE21" s="28">
        <f t="shared" si="5"/>
        <v>13500</v>
      </c>
      <c r="AF21" s="28">
        <f t="shared" si="5"/>
        <v>10000</v>
      </c>
      <c r="AG21" s="28">
        <f t="shared" si="5"/>
        <v>23500</v>
      </c>
      <c r="AH21" s="28">
        <f t="shared" si="5"/>
        <v>4000</v>
      </c>
      <c r="AI21" s="28">
        <f t="shared" si="5"/>
        <v>8000</v>
      </c>
      <c r="AJ21" s="28">
        <f t="shared" si="5"/>
        <v>11000</v>
      </c>
      <c r="AK21" s="74">
        <f t="shared" si="5"/>
        <v>0</v>
      </c>
      <c r="AL21" s="28">
        <f>$E6*AL6+$E7*AL7+$E8*AL8+$E9*AL9+$E10*AL10+$E11*AL11+$E12*AL12+$E14*AL14+$E15*AL15+$E16*AL16+$E17*AL17+$E18*AL18+$E19*AL19+$E13*AL13</f>
        <v>0</v>
      </c>
      <c r="AM21" s="28">
        <f>$E6*AM6+$E7*AM7+$E8*AM8+$E9*AM9+$E10*AM10+$E11*AM11+$E12*AM12+$E14*AM14+$E15*AM15+$E16*AM16+$E17*AM17+$E18*AM18+$E19*AM19+$E13*AM13</f>
        <v>0</v>
      </c>
      <c r="AN21" s="28">
        <f>$E6*AN6+$E7*AN7+$E8*AN8+$E9*AN9+$E10*AN10+$E11*AN11+$E12*AN12+$E14*AN14+$E15*AN15+$E16*AN16+$E17*AN17+$E18*AN18+$E19*AN19+$E13*AN13</f>
        <v>0</v>
      </c>
      <c r="AO21" s="28">
        <f t="shared" ref="AO21:AU21" si="6">$E6*AO6+$E7*AO7+$E8*AO8+$E9*AO9+$E10*AO10+$E11*AO11+$E12*AO12+$E14*AO14+$E15*AO15+$E16*AO16+$E17*AO17+$E18*AO18+$E19*AO19+$E13*AO13</f>
        <v>0</v>
      </c>
      <c r="AP21" s="28">
        <f t="shared" si="6"/>
        <v>0</v>
      </c>
      <c r="AQ21" s="28">
        <f t="shared" si="6"/>
        <v>0</v>
      </c>
      <c r="AR21" s="28">
        <f t="shared" si="6"/>
        <v>0</v>
      </c>
      <c r="AS21" s="28">
        <f t="shared" si="6"/>
        <v>0</v>
      </c>
      <c r="AT21" s="28">
        <f t="shared" si="6"/>
        <v>0</v>
      </c>
      <c r="AU21" s="29">
        <f t="shared" si="6"/>
        <v>0</v>
      </c>
    </row>
  </sheetData>
  <sheetProtection password="CC67" sheet="1" objects="1" scenarios="1"/>
  <mergeCells count="10">
    <mergeCell ref="B20:D21"/>
    <mergeCell ref="E20:E21"/>
    <mergeCell ref="F20:F21"/>
    <mergeCell ref="G20:G21"/>
    <mergeCell ref="B2:G2"/>
    <mergeCell ref="B4:B5"/>
    <mergeCell ref="C4:C5"/>
    <mergeCell ref="D4:D5"/>
    <mergeCell ref="E4:E5"/>
    <mergeCell ref="F4:F5"/>
  </mergeCells>
  <phoneticPr fontId="2" type="noConversion"/>
  <pageMargins left="0.7" right="0.7" top="0.75" bottom="0.75" header="0.3" footer="0.3"/>
  <pageSetup paperSize="9" scale="31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B1:AU21"/>
  <sheetViews>
    <sheetView showGridLines="0" zoomScale="85" zoomScaleNormal="85" workbookViewId="0">
      <pane xSplit="7" ySplit="5" topLeftCell="U6" activePane="bottomRight" state="frozen"/>
      <selection pane="topRight" activeCell="G1" sqref="G1"/>
      <selection pane="bottomLeft" activeCell="A6" sqref="A6"/>
      <selection pane="bottomRight" activeCell="D17" sqref="D17"/>
    </sheetView>
  </sheetViews>
  <sheetFormatPr defaultColWidth="9.125" defaultRowHeight="14.25" x14ac:dyDescent="0.2"/>
  <cols>
    <col min="1" max="1" width="0.375" style="1" customWidth="1"/>
    <col min="2" max="2" width="16.875" style="1" bestFit="1" customWidth="1"/>
    <col min="3" max="4" width="13.625" style="1" customWidth="1"/>
    <col min="5" max="5" width="10.625" style="1" hidden="1" customWidth="1"/>
    <col min="6" max="6" width="10.625" style="1" customWidth="1"/>
    <col min="7" max="7" width="10.625" style="3" customWidth="1"/>
    <col min="8" max="22" width="10.625" style="4" customWidth="1"/>
    <col min="23" max="47" width="10.625" style="1" customWidth="1"/>
    <col min="48" max="16384" width="9.125" style="1"/>
  </cols>
  <sheetData>
    <row r="1" spans="2:47" ht="3.75" customHeight="1" x14ac:dyDescent="0.2"/>
    <row r="2" spans="2:47" ht="20.25" x14ac:dyDescent="0.2">
      <c r="B2" s="149" t="s">
        <v>26</v>
      </c>
      <c r="C2" s="149"/>
      <c r="D2" s="149"/>
      <c r="E2" s="149"/>
      <c r="F2" s="149"/>
      <c r="G2" s="149"/>
    </row>
    <row r="3" spans="2:47" ht="4.9000000000000004" customHeight="1" x14ac:dyDescent="0.2"/>
    <row r="4" spans="2:47" s="38" customFormat="1" ht="20.100000000000001" customHeight="1" x14ac:dyDescent="0.2">
      <c r="B4" s="150" t="s">
        <v>3</v>
      </c>
      <c r="C4" s="123" t="s">
        <v>45</v>
      </c>
      <c r="D4" s="153" t="s">
        <v>46</v>
      </c>
      <c r="E4" s="135" t="s">
        <v>4</v>
      </c>
      <c r="F4" s="129" t="s">
        <v>5</v>
      </c>
      <c r="G4" s="32" t="s">
        <v>0</v>
      </c>
      <c r="H4" s="33">
        <v>1</v>
      </c>
      <c r="I4" s="34">
        <v>2</v>
      </c>
      <c r="J4" s="34">
        <v>3</v>
      </c>
      <c r="K4" s="34">
        <v>4</v>
      </c>
      <c r="L4" s="34">
        <v>5</v>
      </c>
      <c r="M4" s="34">
        <v>6</v>
      </c>
      <c r="N4" s="34">
        <v>7</v>
      </c>
      <c r="O4" s="34">
        <v>8</v>
      </c>
      <c r="P4" s="34">
        <v>9</v>
      </c>
      <c r="Q4" s="34">
        <v>10</v>
      </c>
      <c r="R4" s="34">
        <v>11</v>
      </c>
      <c r="S4" s="34">
        <v>12</v>
      </c>
      <c r="T4" s="34">
        <v>13</v>
      </c>
      <c r="U4" s="34">
        <v>14</v>
      </c>
      <c r="V4" s="34">
        <v>15</v>
      </c>
      <c r="W4" s="34">
        <v>16</v>
      </c>
      <c r="X4" s="34">
        <v>17</v>
      </c>
      <c r="Y4" s="33">
        <v>18</v>
      </c>
      <c r="Z4" s="34">
        <v>19</v>
      </c>
      <c r="AA4" s="34">
        <v>20</v>
      </c>
      <c r="AB4" s="34">
        <v>21</v>
      </c>
      <c r="AC4" s="34">
        <v>22</v>
      </c>
      <c r="AD4" s="34">
        <v>23</v>
      </c>
      <c r="AE4" s="34">
        <v>24</v>
      </c>
      <c r="AF4" s="34">
        <v>25</v>
      </c>
      <c r="AG4" s="34">
        <v>26</v>
      </c>
      <c r="AH4" s="34">
        <v>27</v>
      </c>
      <c r="AI4" s="34">
        <v>28</v>
      </c>
      <c r="AJ4" s="34">
        <v>29</v>
      </c>
      <c r="AK4" s="96">
        <v>30</v>
      </c>
      <c r="AL4" s="34">
        <v>31</v>
      </c>
      <c r="AM4" s="34">
        <v>32</v>
      </c>
      <c r="AN4" s="34">
        <v>33</v>
      </c>
      <c r="AO4" s="34">
        <v>34</v>
      </c>
      <c r="AP4" s="34">
        <v>35</v>
      </c>
      <c r="AQ4" s="34">
        <v>36</v>
      </c>
      <c r="AR4" s="34">
        <v>37</v>
      </c>
      <c r="AS4" s="34">
        <v>38</v>
      </c>
      <c r="AT4" s="34">
        <v>39</v>
      </c>
      <c r="AU4" s="35">
        <v>40</v>
      </c>
    </row>
    <row r="5" spans="2:47" s="38" customFormat="1" ht="20.100000000000001" customHeight="1" x14ac:dyDescent="0.2">
      <c r="B5" s="151"/>
      <c r="C5" s="152"/>
      <c r="D5" s="154"/>
      <c r="E5" s="136"/>
      <c r="F5" s="130"/>
      <c r="G5" s="36" t="s">
        <v>1</v>
      </c>
      <c r="H5" s="37">
        <v>1220</v>
      </c>
      <c r="I5" s="37">
        <v>1019</v>
      </c>
      <c r="J5" s="37">
        <v>1516</v>
      </c>
      <c r="K5" s="37">
        <v>522</v>
      </c>
      <c r="L5" s="37">
        <v>801</v>
      </c>
      <c r="M5" s="37">
        <v>1017</v>
      </c>
      <c r="N5" s="37">
        <v>830</v>
      </c>
      <c r="O5" s="37">
        <v>1801</v>
      </c>
      <c r="P5" s="37">
        <v>1416</v>
      </c>
      <c r="Q5" s="37">
        <v>1221</v>
      </c>
      <c r="R5" s="37">
        <v>828</v>
      </c>
      <c r="S5" s="37">
        <v>1106</v>
      </c>
      <c r="T5" s="37">
        <v>716</v>
      </c>
      <c r="U5" s="37">
        <v>1420</v>
      </c>
      <c r="V5" s="37">
        <v>1418</v>
      </c>
      <c r="W5" s="37">
        <v>1001</v>
      </c>
      <c r="X5" s="37">
        <v>701</v>
      </c>
      <c r="Y5" s="37">
        <v>806</v>
      </c>
      <c r="Z5" s="37">
        <v>1721</v>
      </c>
      <c r="AA5" s="37">
        <v>1231</v>
      </c>
      <c r="AB5" s="37">
        <v>509</v>
      </c>
      <c r="AC5" s="37">
        <v>1427</v>
      </c>
      <c r="AD5" s="37">
        <v>631</v>
      </c>
      <c r="AE5" s="37">
        <v>1531</v>
      </c>
      <c r="AF5" s="37">
        <v>1530</v>
      </c>
      <c r="AG5" s="37">
        <v>1123</v>
      </c>
      <c r="AH5" s="37">
        <v>1721</v>
      </c>
      <c r="AI5" s="37">
        <v>824</v>
      </c>
      <c r="AJ5" s="37">
        <v>1527</v>
      </c>
      <c r="AK5" s="94">
        <v>822</v>
      </c>
      <c r="AL5" s="7">
        <v>1125</v>
      </c>
      <c r="AM5" s="7">
        <v>712</v>
      </c>
      <c r="AN5" s="7"/>
      <c r="AO5" s="7"/>
      <c r="AP5" s="7"/>
      <c r="AQ5" s="7"/>
      <c r="AR5" s="7"/>
      <c r="AS5" s="7"/>
      <c r="AT5" s="7"/>
      <c r="AU5" s="9"/>
    </row>
    <row r="6" spans="2:47" s="38" customFormat="1" ht="30" customHeight="1" x14ac:dyDescent="0.2">
      <c r="B6" s="77" t="s">
        <v>12</v>
      </c>
      <c r="C6" s="62" t="s">
        <v>67</v>
      </c>
      <c r="D6" s="35"/>
      <c r="E6" s="39">
        <v>6000</v>
      </c>
      <c r="F6" s="12">
        <f>E6*G6</f>
        <v>24000</v>
      </c>
      <c r="G6" s="95">
        <f t="shared" ref="G6:G19" si="0">SUM(H6:AU6)</f>
        <v>4</v>
      </c>
      <c r="H6" s="40"/>
      <c r="I6" s="40"/>
      <c r="J6" s="40">
        <v>1</v>
      </c>
      <c r="K6" s="40"/>
      <c r="L6" s="40"/>
      <c r="M6" s="40"/>
      <c r="N6" s="40"/>
      <c r="O6" s="40"/>
      <c r="P6" s="40">
        <v>1</v>
      </c>
      <c r="Q6" s="40"/>
      <c r="R6" s="40"/>
      <c r="S6" s="40"/>
      <c r="T6" s="40"/>
      <c r="U6" s="40"/>
      <c r="V6" s="40">
        <v>1</v>
      </c>
      <c r="W6" s="40"/>
      <c r="X6" s="40"/>
      <c r="Y6" s="40"/>
      <c r="Z6" s="40">
        <v>1</v>
      </c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97"/>
      <c r="AL6" s="40"/>
      <c r="AM6" s="40"/>
      <c r="AN6" s="40"/>
      <c r="AO6" s="40"/>
      <c r="AP6" s="40"/>
      <c r="AQ6" s="40"/>
      <c r="AR6" s="40"/>
      <c r="AS6" s="40"/>
      <c r="AT6" s="40"/>
      <c r="AU6" s="41"/>
    </row>
    <row r="7" spans="2:47" s="38" customFormat="1" ht="30" customHeight="1" x14ac:dyDescent="0.2">
      <c r="B7" s="78" t="s">
        <v>13</v>
      </c>
      <c r="C7" s="63" t="s">
        <v>67</v>
      </c>
      <c r="D7" s="64"/>
      <c r="E7" s="42">
        <v>6500</v>
      </c>
      <c r="F7" s="18">
        <f t="shared" ref="F7:F19" si="1">E7*G7</f>
        <v>13000</v>
      </c>
      <c r="G7" s="95">
        <f t="shared" si="0"/>
        <v>2</v>
      </c>
      <c r="H7" s="43">
        <v>1</v>
      </c>
      <c r="I7" s="43"/>
      <c r="J7" s="43">
        <v>1</v>
      </c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98"/>
      <c r="AL7" s="43"/>
      <c r="AM7" s="43"/>
      <c r="AN7" s="43"/>
      <c r="AO7" s="43"/>
      <c r="AP7" s="43"/>
      <c r="AQ7" s="43"/>
      <c r="AR7" s="43"/>
      <c r="AS7" s="43"/>
      <c r="AT7" s="43"/>
      <c r="AU7" s="44"/>
    </row>
    <row r="8" spans="2:47" s="38" customFormat="1" ht="30" customHeight="1" x14ac:dyDescent="0.2">
      <c r="B8" s="78" t="s">
        <v>14</v>
      </c>
      <c r="C8" s="63" t="s">
        <v>76</v>
      </c>
      <c r="D8" s="64"/>
      <c r="E8" s="42">
        <v>7000</v>
      </c>
      <c r="F8" s="18">
        <f t="shared" si="1"/>
        <v>14000</v>
      </c>
      <c r="G8" s="95">
        <f t="shared" si="0"/>
        <v>2</v>
      </c>
      <c r="H8" s="43"/>
      <c r="I8" s="43"/>
      <c r="J8" s="43">
        <v>1</v>
      </c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>
        <v>1</v>
      </c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98"/>
      <c r="AL8" s="43"/>
      <c r="AM8" s="43"/>
      <c r="AN8" s="43"/>
      <c r="AO8" s="43"/>
      <c r="AP8" s="43"/>
      <c r="AQ8" s="43"/>
      <c r="AR8" s="43"/>
      <c r="AS8" s="43"/>
      <c r="AT8" s="43"/>
      <c r="AU8" s="44"/>
    </row>
    <row r="9" spans="2:47" s="38" customFormat="1" ht="30" customHeight="1" x14ac:dyDescent="0.2">
      <c r="B9" s="78" t="s">
        <v>15</v>
      </c>
      <c r="C9" s="63" t="s">
        <v>57</v>
      </c>
      <c r="D9" s="64"/>
      <c r="E9" s="42">
        <v>5500</v>
      </c>
      <c r="F9" s="18">
        <f t="shared" si="1"/>
        <v>126500</v>
      </c>
      <c r="G9" s="95">
        <f t="shared" si="0"/>
        <v>23</v>
      </c>
      <c r="H9" s="43"/>
      <c r="I9" s="43">
        <v>2</v>
      </c>
      <c r="J9" s="43">
        <v>1</v>
      </c>
      <c r="K9" s="43">
        <v>1</v>
      </c>
      <c r="L9" s="43"/>
      <c r="M9" s="43">
        <v>2</v>
      </c>
      <c r="N9" s="43">
        <v>1</v>
      </c>
      <c r="O9" s="43">
        <v>1</v>
      </c>
      <c r="P9" s="43"/>
      <c r="Q9" s="43">
        <v>1</v>
      </c>
      <c r="R9" s="43"/>
      <c r="S9" s="43">
        <v>1</v>
      </c>
      <c r="T9" s="43">
        <v>1</v>
      </c>
      <c r="U9" s="43">
        <v>1</v>
      </c>
      <c r="V9" s="43">
        <v>1</v>
      </c>
      <c r="W9" s="43">
        <v>1</v>
      </c>
      <c r="X9" s="43"/>
      <c r="Y9" s="43">
        <v>1</v>
      </c>
      <c r="Z9" s="43"/>
      <c r="AA9" s="43">
        <v>1</v>
      </c>
      <c r="AB9" s="43">
        <v>1</v>
      </c>
      <c r="AC9" s="43"/>
      <c r="AD9" s="43"/>
      <c r="AE9" s="43"/>
      <c r="AF9" s="43">
        <v>2</v>
      </c>
      <c r="AG9" s="43"/>
      <c r="AH9" s="43"/>
      <c r="AI9" s="43"/>
      <c r="AJ9" s="43">
        <v>1</v>
      </c>
      <c r="AK9" s="98"/>
      <c r="AL9" s="43">
        <v>2</v>
      </c>
      <c r="AM9" s="43">
        <v>1</v>
      </c>
      <c r="AN9" s="43"/>
      <c r="AO9" s="43"/>
      <c r="AP9" s="43"/>
      <c r="AQ9" s="43"/>
      <c r="AR9" s="43"/>
      <c r="AS9" s="43"/>
      <c r="AT9" s="43"/>
      <c r="AU9" s="44"/>
    </row>
    <row r="10" spans="2:47" s="38" customFormat="1" ht="30" customHeight="1" x14ac:dyDescent="0.2">
      <c r="B10" s="78" t="s">
        <v>16</v>
      </c>
      <c r="C10" s="63" t="s">
        <v>69</v>
      </c>
      <c r="D10" s="64"/>
      <c r="E10" s="42">
        <v>4000</v>
      </c>
      <c r="F10" s="18">
        <f t="shared" si="1"/>
        <v>8000</v>
      </c>
      <c r="G10" s="95">
        <f t="shared" si="0"/>
        <v>2</v>
      </c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>
        <v>1</v>
      </c>
      <c r="AH10" s="43"/>
      <c r="AI10" s="43"/>
      <c r="AJ10" s="43"/>
      <c r="AK10" s="98">
        <v>1</v>
      </c>
      <c r="AL10" s="43"/>
      <c r="AM10" s="43"/>
      <c r="AN10" s="43"/>
      <c r="AO10" s="43"/>
      <c r="AP10" s="43"/>
      <c r="AQ10" s="43"/>
      <c r="AR10" s="43"/>
      <c r="AS10" s="43"/>
      <c r="AT10" s="43"/>
      <c r="AU10" s="44"/>
    </row>
    <row r="11" spans="2:47" s="38" customFormat="1" ht="30" customHeight="1" x14ac:dyDescent="0.2">
      <c r="B11" s="78" t="s">
        <v>17</v>
      </c>
      <c r="C11" s="63" t="s">
        <v>72</v>
      </c>
      <c r="D11" s="64"/>
      <c r="E11" s="42">
        <v>4000</v>
      </c>
      <c r="F11" s="18">
        <f t="shared" si="1"/>
        <v>16000</v>
      </c>
      <c r="G11" s="95">
        <f t="shared" si="0"/>
        <v>4</v>
      </c>
      <c r="H11" s="43">
        <v>1</v>
      </c>
      <c r="I11" s="43">
        <v>1</v>
      </c>
      <c r="J11" s="43"/>
      <c r="K11" s="43"/>
      <c r="L11" s="43"/>
      <c r="M11" s="43">
        <v>1</v>
      </c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98">
        <v>1</v>
      </c>
      <c r="AL11" s="43"/>
      <c r="AM11" s="43"/>
      <c r="AN11" s="43"/>
      <c r="AO11" s="43"/>
      <c r="AP11" s="43"/>
      <c r="AQ11" s="43"/>
      <c r="AR11" s="43"/>
      <c r="AS11" s="43"/>
      <c r="AT11" s="43"/>
      <c r="AU11" s="44"/>
    </row>
    <row r="12" spans="2:47" s="38" customFormat="1" ht="30" customHeight="1" x14ac:dyDescent="0.2">
      <c r="B12" s="78" t="s">
        <v>18</v>
      </c>
      <c r="C12" s="63" t="s">
        <v>60</v>
      </c>
      <c r="D12" s="64" t="s">
        <v>73</v>
      </c>
      <c r="E12" s="42">
        <v>4000</v>
      </c>
      <c r="F12" s="18">
        <f t="shared" si="1"/>
        <v>16000</v>
      </c>
      <c r="G12" s="95">
        <f t="shared" si="0"/>
        <v>4</v>
      </c>
      <c r="H12" s="43"/>
      <c r="I12" s="43">
        <v>1</v>
      </c>
      <c r="J12" s="43"/>
      <c r="K12" s="43"/>
      <c r="L12" s="43"/>
      <c r="M12" s="43"/>
      <c r="N12" s="43"/>
      <c r="O12" s="43"/>
      <c r="P12" s="43"/>
      <c r="Q12" s="43"/>
      <c r="R12" s="43">
        <v>1</v>
      </c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>
        <v>1</v>
      </c>
      <c r="AD12" s="43">
        <v>1</v>
      </c>
      <c r="AE12" s="43"/>
      <c r="AF12" s="43"/>
      <c r="AG12" s="43"/>
      <c r="AH12" s="43"/>
      <c r="AI12" s="43"/>
      <c r="AJ12" s="43"/>
      <c r="AK12" s="98"/>
      <c r="AL12" s="43"/>
      <c r="AM12" s="43"/>
      <c r="AN12" s="43"/>
      <c r="AO12" s="43"/>
      <c r="AP12" s="43"/>
      <c r="AQ12" s="43"/>
      <c r="AR12" s="43"/>
      <c r="AS12" s="43"/>
      <c r="AT12" s="43"/>
      <c r="AU12" s="44"/>
    </row>
    <row r="13" spans="2:47" s="38" customFormat="1" ht="30" customHeight="1" x14ac:dyDescent="0.2">
      <c r="B13" s="78" t="s">
        <v>19</v>
      </c>
      <c r="C13" s="63" t="s">
        <v>59</v>
      </c>
      <c r="D13" s="64"/>
      <c r="E13" s="42">
        <v>5000</v>
      </c>
      <c r="F13" s="18">
        <f t="shared" si="1"/>
        <v>15000</v>
      </c>
      <c r="G13" s="95">
        <f t="shared" si="0"/>
        <v>3</v>
      </c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>
        <v>1</v>
      </c>
      <c r="Y13" s="45"/>
      <c r="Z13" s="45"/>
      <c r="AA13" s="45"/>
      <c r="AB13" s="45"/>
      <c r="AC13" s="45"/>
      <c r="AD13" s="45"/>
      <c r="AE13" s="45"/>
      <c r="AF13" s="45"/>
      <c r="AG13" s="45"/>
      <c r="AH13" s="45">
        <v>1</v>
      </c>
      <c r="AI13" s="45"/>
      <c r="AJ13" s="45">
        <v>1</v>
      </c>
      <c r="AK13" s="99"/>
      <c r="AL13" s="43"/>
      <c r="AM13" s="43"/>
      <c r="AN13" s="43"/>
      <c r="AO13" s="43"/>
      <c r="AP13" s="43"/>
      <c r="AQ13" s="43"/>
      <c r="AR13" s="43"/>
      <c r="AS13" s="43"/>
      <c r="AT13" s="43"/>
      <c r="AU13" s="44"/>
    </row>
    <row r="14" spans="2:47" s="38" customFormat="1" ht="30" customHeight="1" x14ac:dyDescent="0.2">
      <c r="B14" s="78" t="s">
        <v>20</v>
      </c>
      <c r="C14" s="63" t="s">
        <v>66</v>
      </c>
      <c r="D14" s="64"/>
      <c r="E14" s="42">
        <v>7000</v>
      </c>
      <c r="F14" s="18">
        <f t="shared" si="1"/>
        <v>14000</v>
      </c>
      <c r="G14" s="95">
        <f t="shared" si="0"/>
        <v>2</v>
      </c>
      <c r="H14" s="43"/>
      <c r="I14" s="43"/>
      <c r="J14" s="43"/>
      <c r="K14" s="43"/>
      <c r="L14" s="43">
        <v>1</v>
      </c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>
        <v>1</v>
      </c>
      <c r="AD14" s="43"/>
      <c r="AE14" s="43"/>
      <c r="AF14" s="43"/>
      <c r="AG14" s="43"/>
      <c r="AH14" s="43"/>
      <c r="AI14" s="43"/>
      <c r="AJ14" s="43"/>
      <c r="AK14" s="98"/>
      <c r="AL14" s="43"/>
      <c r="AM14" s="43"/>
      <c r="AN14" s="43"/>
      <c r="AO14" s="43"/>
      <c r="AP14" s="43"/>
      <c r="AQ14" s="43"/>
      <c r="AR14" s="43"/>
      <c r="AS14" s="43"/>
      <c r="AT14" s="43"/>
      <c r="AU14" s="44"/>
    </row>
    <row r="15" spans="2:47" s="38" customFormat="1" ht="30" customHeight="1" x14ac:dyDescent="0.2">
      <c r="B15" s="78" t="s">
        <v>21</v>
      </c>
      <c r="C15" s="63" t="s">
        <v>75</v>
      </c>
      <c r="D15" s="64"/>
      <c r="E15" s="42">
        <v>7000</v>
      </c>
      <c r="F15" s="18">
        <f t="shared" si="1"/>
        <v>35000</v>
      </c>
      <c r="G15" s="95">
        <f t="shared" si="0"/>
        <v>5</v>
      </c>
      <c r="H15" s="43"/>
      <c r="I15" s="43"/>
      <c r="J15" s="43"/>
      <c r="K15" s="43"/>
      <c r="L15" s="43">
        <v>1</v>
      </c>
      <c r="M15" s="43"/>
      <c r="N15" s="43"/>
      <c r="O15" s="43"/>
      <c r="P15" s="43">
        <v>1</v>
      </c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>
        <v>1</v>
      </c>
      <c r="AD15" s="43"/>
      <c r="AE15" s="43">
        <v>1</v>
      </c>
      <c r="AF15" s="43"/>
      <c r="AG15" s="43"/>
      <c r="AH15" s="43"/>
      <c r="AI15" s="43">
        <v>1</v>
      </c>
      <c r="AJ15" s="43"/>
      <c r="AK15" s="98"/>
      <c r="AL15" s="43"/>
      <c r="AM15" s="43"/>
      <c r="AN15" s="43"/>
      <c r="AO15" s="43"/>
      <c r="AP15" s="43"/>
      <c r="AQ15" s="43"/>
      <c r="AR15" s="43"/>
      <c r="AS15" s="43"/>
      <c r="AT15" s="43"/>
      <c r="AU15" s="44"/>
    </row>
    <row r="16" spans="2:47" s="38" customFormat="1" ht="30" customHeight="1" x14ac:dyDescent="0.2">
      <c r="B16" s="78" t="s">
        <v>22</v>
      </c>
      <c r="C16" s="63"/>
      <c r="D16" s="64"/>
      <c r="E16" s="42">
        <v>7000</v>
      </c>
      <c r="F16" s="18">
        <f t="shared" si="1"/>
        <v>0</v>
      </c>
      <c r="G16" s="95">
        <f t="shared" si="0"/>
        <v>0</v>
      </c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98"/>
      <c r="AL16" s="43"/>
      <c r="AM16" s="43"/>
      <c r="AN16" s="43"/>
      <c r="AO16" s="43"/>
      <c r="AP16" s="43"/>
      <c r="AQ16" s="43"/>
      <c r="AR16" s="43"/>
      <c r="AS16" s="43"/>
      <c r="AT16" s="43"/>
      <c r="AU16" s="44"/>
    </row>
    <row r="17" spans="2:47" s="38" customFormat="1" ht="30" customHeight="1" x14ac:dyDescent="0.2">
      <c r="B17" s="78" t="s">
        <v>23</v>
      </c>
      <c r="C17" s="63"/>
      <c r="D17" s="64"/>
      <c r="E17" s="42">
        <v>7000</v>
      </c>
      <c r="F17" s="18">
        <f t="shared" si="1"/>
        <v>0</v>
      </c>
      <c r="G17" s="95">
        <f t="shared" si="0"/>
        <v>0</v>
      </c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98"/>
      <c r="AL17" s="43"/>
      <c r="AM17" s="43"/>
      <c r="AN17" s="43"/>
      <c r="AO17" s="43"/>
      <c r="AP17" s="43"/>
      <c r="AQ17" s="43"/>
      <c r="AR17" s="43"/>
      <c r="AS17" s="43"/>
      <c r="AT17" s="43"/>
      <c r="AU17" s="44"/>
    </row>
    <row r="18" spans="2:47" s="38" customFormat="1" ht="30" customHeight="1" x14ac:dyDescent="0.2">
      <c r="B18" s="78" t="s">
        <v>24</v>
      </c>
      <c r="C18" s="63"/>
      <c r="D18" s="64"/>
      <c r="E18" s="42">
        <v>7000</v>
      </c>
      <c r="F18" s="18">
        <f t="shared" si="1"/>
        <v>0</v>
      </c>
      <c r="G18" s="95">
        <f t="shared" si="0"/>
        <v>0</v>
      </c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99"/>
      <c r="AL18" s="43"/>
      <c r="AM18" s="43"/>
      <c r="AN18" s="43"/>
      <c r="AO18" s="43"/>
      <c r="AP18" s="43"/>
      <c r="AQ18" s="43"/>
      <c r="AR18" s="43"/>
      <c r="AS18" s="43"/>
      <c r="AT18" s="43"/>
      <c r="AU18" s="44"/>
    </row>
    <row r="19" spans="2:47" s="38" customFormat="1" ht="30" customHeight="1" x14ac:dyDescent="0.2">
      <c r="B19" s="79" t="s">
        <v>25</v>
      </c>
      <c r="C19" s="65"/>
      <c r="D19" s="9"/>
      <c r="E19" s="61">
        <v>7000</v>
      </c>
      <c r="F19" s="50">
        <f t="shared" si="1"/>
        <v>0</v>
      </c>
      <c r="G19" s="95">
        <f t="shared" si="0"/>
        <v>0</v>
      </c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98"/>
      <c r="AL19" s="45"/>
      <c r="AM19" s="45"/>
      <c r="AN19" s="45"/>
      <c r="AO19" s="45"/>
      <c r="AP19" s="45"/>
      <c r="AQ19" s="45"/>
      <c r="AR19" s="45"/>
      <c r="AS19" s="45"/>
      <c r="AT19" s="45"/>
      <c r="AU19" s="60"/>
    </row>
    <row r="20" spans="2:47" s="38" customFormat="1" ht="20.100000000000001" customHeight="1" x14ac:dyDescent="0.2">
      <c r="B20" s="139" t="s">
        <v>8</v>
      </c>
      <c r="C20" s="140"/>
      <c r="D20" s="144"/>
      <c r="E20" s="146">
        <f>SUM(E6:E8,E10:E15)+E9*2</f>
        <v>61500</v>
      </c>
      <c r="F20" s="125">
        <f t="shared" ref="F20:X20" si="2">SUM(F6:F19)</f>
        <v>281500</v>
      </c>
      <c r="G20" s="125">
        <f t="shared" si="2"/>
        <v>51</v>
      </c>
      <c r="H20" s="23">
        <f t="shared" si="2"/>
        <v>2</v>
      </c>
      <c r="I20" s="23">
        <f t="shared" si="2"/>
        <v>4</v>
      </c>
      <c r="J20" s="23">
        <f t="shared" si="2"/>
        <v>4</v>
      </c>
      <c r="K20" s="23">
        <f t="shared" si="2"/>
        <v>1</v>
      </c>
      <c r="L20" s="23">
        <f t="shared" si="2"/>
        <v>2</v>
      </c>
      <c r="M20" s="23">
        <f t="shared" si="2"/>
        <v>3</v>
      </c>
      <c r="N20" s="23">
        <f t="shared" si="2"/>
        <v>1</v>
      </c>
      <c r="O20" s="23">
        <f t="shared" si="2"/>
        <v>1</v>
      </c>
      <c r="P20" s="23">
        <f t="shared" si="2"/>
        <v>2</v>
      </c>
      <c r="Q20" s="23">
        <f t="shared" si="2"/>
        <v>1</v>
      </c>
      <c r="R20" s="23">
        <f t="shared" si="2"/>
        <v>1</v>
      </c>
      <c r="S20" s="23">
        <f t="shared" si="2"/>
        <v>1</v>
      </c>
      <c r="T20" s="23">
        <f t="shared" si="2"/>
        <v>1</v>
      </c>
      <c r="U20" s="23">
        <f t="shared" si="2"/>
        <v>1</v>
      </c>
      <c r="V20" s="23">
        <f t="shared" si="2"/>
        <v>2</v>
      </c>
      <c r="W20" s="23">
        <f t="shared" si="2"/>
        <v>1</v>
      </c>
      <c r="X20" s="23">
        <f t="shared" si="2"/>
        <v>1</v>
      </c>
      <c r="Y20" s="23">
        <f t="shared" ref="Y20:AH20" si="3">SUM(Y6:Y19)</f>
        <v>1</v>
      </c>
      <c r="Z20" s="23">
        <f t="shared" si="3"/>
        <v>2</v>
      </c>
      <c r="AA20" s="23">
        <f t="shared" si="3"/>
        <v>1</v>
      </c>
      <c r="AB20" s="23">
        <f t="shared" si="3"/>
        <v>1</v>
      </c>
      <c r="AC20" s="23">
        <f t="shared" si="3"/>
        <v>3</v>
      </c>
      <c r="AD20" s="23">
        <f t="shared" si="3"/>
        <v>1</v>
      </c>
      <c r="AE20" s="23">
        <f t="shared" si="3"/>
        <v>1</v>
      </c>
      <c r="AF20" s="23">
        <f t="shared" si="3"/>
        <v>2</v>
      </c>
      <c r="AG20" s="23">
        <f t="shared" si="3"/>
        <v>1</v>
      </c>
      <c r="AH20" s="23">
        <f t="shared" si="3"/>
        <v>1</v>
      </c>
      <c r="AI20" s="23">
        <f>SUM(AI6:AI19)</f>
        <v>1</v>
      </c>
      <c r="AJ20" s="23">
        <f>SUM(AJ6:AJ19)</f>
        <v>2</v>
      </c>
      <c r="AK20" s="100">
        <f>SUM(AK6:AK19)</f>
        <v>2</v>
      </c>
      <c r="AL20" s="101">
        <f>SUM(AL6:AL19)</f>
        <v>2</v>
      </c>
      <c r="AM20" s="101">
        <f t="shared" ref="AM20:AU20" si="4">SUM(AM6:AM19)</f>
        <v>1</v>
      </c>
      <c r="AN20" s="101">
        <f t="shared" si="4"/>
        <v>0</v>
      </c>
      <c r="AO20" s="101">
        <f t="shared" si="4"/>
        <v>0</v>
      </c>
      <c r="AP20" s="101">
        <f t="shared" si="4"/>
        <v>0</v>
      </c>
      <c r="AQ20" s="101">
        <f t="shared" si="4"/>
        <v>0</v>
      </c>
      <c r="AR20" s="101">
        <f t="shared" si="4"/>
        <v>0</v>
      </c>
      <c r="AS20" s="101">
        <f t="shared" si="4"/>
        <v>0</v>
      </c>
      <c r="AT20" s="101">
        <f t="shared" si="4"/>
        <v>0</v>
      </c>
      <c r="AU20" s="102">
        <f t="shared" si="4"/>
        <v>0</v>
      </c>
    </row>
    <row r="21" spans="2:47" s="38" customFormat="1" ht="20.100000000000001" customHeight="1" x14ac:dyDescent="0.2">
      <c r="B21" s="141"/>
      <c r="C21" s="142"/>
      <c r="D21" s="145"/>
      <c r="E21" s="147"/>
      <c r="F21" s="126"/>
      <c r="G21" s="126"/>
      <c r="H21" s="46">
        <f>$E6*H6+$E7*H7+$E8*H8+$E9*H9+$E10*H10+$E11*H11+$E12*H12+$E14*H14+$E15*H15+$E16*H16+$E17*H17+$E18*H18+$E19*H19+$E13*H13</f>
        <v>10500</v>
      </c>
      <c r="I21" s="28">
        <f t="shared" ref="I21:AK21" si="5">$E6*I6+$E7*I7+$E8*I8+$E9*I9+$E10*I10+$E11*I11+$E12*I12+$E14*I14+$E15*I15+$E16*I16+$E17*I17+$E18*I18+$E19*I19+$E13*I13</f>
        <v>19000</v>
      </c>
      <c r="J21" s="28">
        <f t="shared" si="5"/>
        <v>25000</v>
      </c>
      <c r="K21" s="28">
        <f t="shared" si="5"/>
        <v>5500</v>
      </c>
      <c r="L21" s="28">
        <f t="shared" si="5"/>
        <v>14000</v>
      </c>
      <c r="M21" s="28">
        <f t="shared" si="5"/>
        <v>15000</v>
      </c>
      <c r="N21" s="28">
        <f t="shared" si="5"/>
        <v>5500</v>
      </c>
      <c r="O21" s="28">
        <f t="shared" si="5"/>
        <v>5500</v>
      </c>
      <c r="P21" s="28">
        <f t="shared" si="5"/>
        <v>13000</v>
      </c>
      <c r="Q21" s="28">
        <f t="shared" si="5"/>
        <v>5500</v>
      </c>
      <c r="R21" s="28">
        <f t="shared" si="5"/>
        <v>4000</v>
      </c>
      <c r="S21" s="28">
        <f t="shared" si="5"/>
        <v>5500</v>
      </c>
      <c r="T21" s="28">
        <f t="shared" si="5"/>
        <v>5500</v>
      </c>
      <c r="U21" s="28">
        <f t="shared" si="5"/>
        <v>5500</v>
      </c>
      <c r="V21" s="28">
        <f t="shared" si="5"/>
        <v>11500</v>
      </c>
      <c r="W21" s="28">
        <f t="shared" si="5"/>
        <v>5500</v>
      </c>
      <c r="X21" s="28">
        <f t="shared" si="5"/>
        <v>5000</v>
      </c>
      <c r="Y21" s="28">
        <f t="shared" si="5"/>
        <v>5500</v>
      </c>
      <c r="Z21" s="28">
        <f t="shared" si="5"/>
        <v>13000</v>
      </c>
      <c r="AA21" s="28">
        <f t="shared" si="5"/>
        <v>5500</v>
      </c>
      <c r="AB21" s="28">
        <f t="shared" si="5"/>
        <v>5500</v>
      </c>
      <c r="AC21" s="28">
        <f t="shared" si="5"/>
        <v>18000</v>
      </c>
      <c r="AD21" s="28">
        <f t="shared" si="5"/>
        <v>4000</v>
      </c>
      <c r="AE21" s="28">
        <f t="shared" si="5"/>
        <v>7000</v>
      </c>
      <c r="AF21" s="28">
        <f t="shared" si="5"/>
        <v>11000</v>
      </c>
      <c r="AG21" s="28">
        <f t="shared" si="5"/>
        <v>4000</v>
      </c>
      <c r="AH21" s="28">
        <f t="shared" si="5"/>
        <v>5000</v>
      </c>
      <c r="AI21" s="28">
        <f t="shared" si="5"/>
        <v>7000</v>
      </c>
      <c r="AJ21" s="28">
        <f t="shared" si="5"/>
        <v>10500</v>
      </c>
      <c r="AK21" s="74">
        <f t="shared" si="5"/>
        <v>8000</v>
      </c>
      <c r="AL21" s="28">
        <f>$E6*AL6+$E7*AL7+$E8*AL8+$E9*AL9+$E10*AL10+$E11*AL11+$E12*AL12+$E14*AL14+$E15*AL15+$E16*AL16+$E17*AL17+$E18*AL18+$E19*AL19+$E13*AL13</f>
        <v>11000</v>
      </c>
      <c r="AM21" s="28">
        <f>$E6*AM6+$E7*AM7+$E8*AM8+$E9*AM9+$E10*AM10+$E11*AM11+$E12*AM12+$E14*AM14+$E15*AM15+$E16*AM16+$E17*AM17+$E18*AM18+$E19*AM19+$E13*AM13</f>
        <v>5500</v>
      </c>
      <c r="AN21" s="28">
        <f>$E6*AN6+$E7*AN7+$E8*AN8+$E9*AN9+$E10*AN10+$E11*AN11+$E12*AN12+$E14*AN14+$E15*AN15+$E16*AN16+$E17*AN17+$E18*AN18+$E19*AN19+$E13*AN13</f>
        <v>0</v>
      </c>
      <c r="AO21" s="28">
        <f t="shared" ref="AO21:AU21" si="6">$E6*AO6+$E7*AO7+$E8*AO8+$E9*AO9+$E10*AO10+$E11*AO11+$E12*AO12+$E14*AO14+$E15*AO15+$E16*AO16+$E17*AO17+$E18*AO18+$E19*AO19+$E13*AO13</f>
        <v>0</v>
      </c>
      <c r="AP21" s="28">
        <f t="shared" si="6"/>
        <v>0</v>
      </c>
      <c r="AQ21" s="28">
        <f t="shared" si="6"/>
        <v>0</v>
      </c>
      <c r="AR21" s="28">
        <f t="shared" si="6"/>
        <v>0</v>
      </c>
      <c r="AS21" s="28">
        <f t="shared" si="6"/>
        <v>0</v>
      </c>
      <c r="AT21" s="28">
        <f t="shared" si="6"/>
        <v>0</v>
      </c>
      <c r="AU21" s="29">
        <f t="shared" si="6"/>
        <v>0</v>
      </c>
    </row>
  </sheetData>
  <sheetProtection password="CC67" sheet="1" objects="1" scenarios="1"/>
  <mergeCells count="10">
    <mergeCell ref="B20:D21"/>
    <mergeCell ref="E20:E21"/>
    <mergeCell ref="F20:F21"/>
    <mergeCell ref="G20:G21"/>
    <mergeCell ref="B2:G2"/>
    <mergeCell ref="B4:B5"/>
    <mergeCell ref="C4:C5"/>
    <mergeCell ref="D4:D5"/>
    <mergeCell ref="E4:E5"/>
    <mergeCell ref="F4:F5"/>
  </mergeCells>
  <phoneticPr fontId="2" type="noConversion"/>
  <pageMargins left="0.7" right="0.7" top="0.75" bottom="0.75" header="0.3" footer="0.3"/>
  <pageSetup paperSize="9" scale="31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B1:AU21"/>
  <sheetViews>
    <sheetView showGridLines="0" zoomScale="85" zoomScaleNormal="85" workbookViewId="0">
      <pane xSplit="7" ySplit="5" topLeftCell="X6" activePane="bottomRight" state="frozen"/>
      <selection pane="topRight" activeCell="G1" sqref="G1"/>
      <selection pane="bottomLeft" activeCell="A6" sqref="A6"/>
      <selection pane="bottomRight" activeCell="Z16" sqref="Z16"/>
    </sheetView>
  </sheetViews>
  <sheetFormatPr defaultColWidth="9.125" defaultRowHeight="14.25" x14ac:dyDescent="0.2"/>
  <cols>
    <col min="1" max="1" width="0.375" style="1" customWidth="1"/>
    <col min="2" max="2" width="16.875" style="1" bestFit="1" customWidth="1"/>
    <col min="3" max="4" width="13.625" style="1" customWidth="1"/>
    <col min="5" max="5" width="10.625" style="1" hidden="1" customWidth="1"/>
    <col min="6" max="6" width="10.625" style="1" customWidth="1"/>
    <col min="7" max="7" width="10.625" style="3" customWidth="1"/>
    <col min="8" max="22" width="10.625" style="4" customWidth="1"/>
    <col min="23" max="47" width="10.625" style="1" customWidth="1"/>
    <col min="48" max="16384" width="9.125" style="1"/>
  </cols>
  <sheetData>
    <row r="1" spans="2:47" ht="3.75" customHeight="1" x14ac:dyDescent="0.2"/>
    <row r="2" spans="2:47" ht="20.25" x14ac:dyDescent="0.2">
      <c r="B2" s="149" t="s">
        <v>26</v>
      </c>
      <c r="C2" s="149"/>
      <c r="D2" s="149"/>
      <c r="E2" s="149"/>
      <c r="F2" s="149"/>
      <c r="G2" s="149"/>
    </row>
    <row r="3" spans="2:47" ht="4.9000000000000004" customHeight="1" x14ac:dyDescent="0.2"/>
    <row r="4" spans="2:47" s="38" customFormat="1" ht="20.100000000000001" customHeight="1" x14ac:dyDescent="0.2">
      <c r="B4" s="150" t="s">
        <v>3</v>
      </c>
      <c r="C4" s="123" t="s">
        <v>45</v>
      </c>
      <c r="D4" s="153" t="s">
        <v>46</v>
      </c>
      <c r="E4" s="135" t="s">
        <v>4</v>
      </c>
      <c r="F4" s="129" t="s">
        <v>5</v>
      </c>
      <c r="G4" s="32" t="s">
        <v>0</v>
      </c>
      <c r="H4" s="33">
        <v>1</v>
      </c>
      <c r="I4" s="34">
        <v>2</v>
      </c>
      <c r="J4" s="34">
        <v>3</v>
      </c>
      <c r="K4" s="34">
        <v>4</v>
      </c>
      <c r="L4" s="34">
        <v>5</v>
      </c>
      <c r="M4" s="34">
        <v>6</v>
      </c>
      <c r="N4" s="34">
        <v>7</v>
      </c>
      <c r="O4" s="34">
        <v>8</v>
      </c>
      <c r="P4" s="34">
        <v>9</v>
      </c>
      <c r="Q4" s="34">
        <v>10</v>
      </c>
      <c r="R4" s="34">
        <v>11</v>
      </c>
      <c r="S4" s="34">
        <v>12</v>
      </c>
      <c r="T4" s="34">
        <v>13</v>
      </c>
      <c r="U4" s="34">
        <v>14</v>
      </c>
      <c r="V4" s="34">
        <v>15</v>
      </c>
      <c r="W4" s="34">
        <v>16</v>
      </c>
      <c r="X4" s="34">
        <v>17</v>
      </c>
      <c r="Y4" s="33">
        <v>18</v>
      </c>
      <c r="Z4" s="34">
        <v>19</v>
      </c>
      <c r="AA4" s="34">
        <v>20</v>
      </c>
      <c r="AB4" s="34">
        <v>21</v>
      </c>
      <c r="AC4" s="34">
        <v>22</v>
      </c>
      <c r="AD4" s="34">
        <v>23</v>
      </c>
      <c r="AE4" s="34">
        <v>24</v>
      </c>
      <c r="AF4" s="34">
        <v>25</v>
      </c>
      <c r="AG4" s="34">
        <v>26</v>
      </c>
      <c r="AH4" s="34">
        <v>27</v>
      </c>
      <c r="AI4" s="34">
        <v>28</v>
      </c>
      <c r="AJ4" s="34">
        <v>29</v>
      </c>
      <c r="AK4" s="96">
        <v>30</v>
      </c>
      <c r="AL4" s="34">
        <v>31</v>
      </c>
      <c r="AM4" s="34">
        <v>32</v>
      </c>
      <c r="AN4" s="34">
        <v>33</v>
      </c>
      <c r="AO4" s="34">
        <v>34</v>
      </c>
      <c r="AP4" s="34">
        <v>35</v>
      </c>
      <c r="AQ4" s="34">
        <v>36</v>
      </c>
      <c r="AR4" s="34">
        <v>37</v>
      </c>
      <c r="AS4" s="34">
        <v>38</v>
      </c>
      <c r="AT4" s="34">
        <v>39</v>
      </c>
      <c r="AU4" s="35">
        <v>40</v>
      </c>
    </row>
    <row r="5" spans="2:47" s="38" customFormat="1" ht="20.100000000000001" customHeight="1" x14ac:dyDescent="0.2">
      <c r="B5" s="151"/>
      <c r="C5" s="152"/>
      <c r="D5" s="154"/>
      <c r="E5" s="136"/>
      <c r="F5" s="130"/>
      <c r="G5" s="36" t="s">
        <v>1</v>
      </c>
      <c r="H5" s="37">
        <v>1019</v>
      </c>
      <c r="I5" s="37">
        <v>1723</v>
      </c>
      <c r="J5" s="37">
        <v>731</v>
      </c>
      <c r="K5" s="37">
        <v>701</v>
      </c>
      <c r="L5" s="37">
        <v>1703</v>
      </c>
      <c r="M5" s="37">
        <v>1624</v>
      </c>
      <c r="N5" s="37">
        <v>1114</v>
      </c>
      <c r="O5" s="37">
        <v>1222</v>
      </c>
      <c r="P5" s="37">
        <v>1116</v>
      </c>
      <c r="Q5" s="37">
        <v>1419</v>
      </c>
      <c r="R5" s="37">
        <v>923</v>
      </c>
      <c r="S5" s="37">
        <v>1227</v>
      </c>
      <c r="T5" s="37">
        <v>1020</v>
      </c>
      <c r="U5" s="37">
        <v>717</v>
      </c>
      <c r="V5" s="37">
        <v>1106</v>
      </c>
      <c r="W5" s="37">
        <v>603</v>
      </c>
      <c r="X5" s="37">
        <v>1129</v>
      </c>
      <c r="Y5" s="37">
        <v>626</v>
      </c>
      <c r="Z5" s="37">
        <v>1121</v>
      </c>
      <c r="AA5" s="37">
        <v>721</v>
      </c>
      <c r="AB5" s="37">
        <v>1614</v>
      </c>
      <c r="AC5" s="37">
        <v>1005</v>
      </c>
      <c r="AD5" s="37">
        <v>1705</v>
      </c>
      <c r="AE5" s="37">
        <v>818</v>
      </c>
      <c r="AF5" s="37">
        <v>1424</v>
      </c>
      <c r="AG5" s="37">
        <v>606</v>
      </c>
      <c r="AH5" s="37">
        <v>830</v>
      </c>
      <c r="AI5" s="37">
        <v>1016</v>
      </c>
      <c r="AJ5" s="37">
        <v>1120</v>
      </c>
      <c r="AK5" s="94">
        <v>1516</v>
      </c>
      <c r="AL5" s="7">
        <v>1515</v>
      </c>
      <c r="AM5" s="7">
        <v>922</v>
      </c>
      <c r="AN5" s="7">
        <v>1601</v>
      </c>
      <c r="AO5" s="7">
        <v>1414</v>
      </c>
      <c r="AP5" s="7">
        <v>827</v>
      </c>
      <c r="AQ5" s="7"/>
      <c r="AR5" s="7"/>
      <c r="AS5" s="7"/>
      <c r="AT5" s="7"/>
      <c r="AU5" s="9"/>
    </row>
    <row r="6" spans="2:47" s="38" customFormat="1" ht="30" customHeight="1" x14ac:dyDescent="0.2">
      <c r="B6" s="77" t="s">
        <v>12</v>
      </c>
      <c r="C6" s="62" t="s">
        <v>67</v>
      </c>
      <c r="D6" s="35"/>
      <c r="E6" s="39">
        <v>6000</v>
      </c>
      <c r="F6" s="12">
        <f>E6*G6</f>
        <v>60000</v>
      </c>
      <c r="G6" s="95">
        <f t="shared" ref="G6:G19" si="0">SUM(H6:AU6)</f>
        <v>10</v>
      </c>
      <c r="H6" s="40"/>
      <c r="I6" s="40"/>
      <c r="J6" s="40"/>
      <c r="K6" s="40"/>
      <c r="L6" s="40"/>
      <c r="M6" s="40">
        <v>1</v>
      </c>
      <c r="N6" s="40"/>
      <c r="O6" s="40"/>
      <c r="P6" s="40"/>
      <c r="Q6" s="40">
        <v>1</v>
      </c>
      <c r="R6" s="40">
        <v>1</v>
      </c>
      <c r="S6" s="40">
        <v>1</v>
      </c>
      <c r="T6" s="40">
        <v>1</v>
      </c>
      <c r="U6" s="40"/>
      <c r="V6" s="40"/>
      <c r="W6" s="40"/>
      <c r="X6" s="40"/>
      <c r="Y6" s="40"/>
      <c r="Z6" s="40"/>
      <c r="AA6" s="40"/>
      <c r="AB6" s="40"/>
      <c r="AC6" s="40"/>
      <c r="AD6" s="40"/>
      <c r="AE6" s="40">
        <v>1</v>
      </c>
      <c r="AF6" s="40"/>
      <c r="AG6" s="40">
        <v>1</v>
      </c>
      <c r="AH6" s="40">
        <v>1</v>
      </c>
      <c r="AI6" s="40">
        <v>1</v>
      </c>
      <c r="AJ6" s="40"/>
      <c r="AK6" s="97">
        <v>1</v>
      </c>
      <c r="AL6" s="40"/>
      <c r="AM6" s="40"/>
      <c r="AN6" s="40"/>
      <c r="AO6" s="40"/>
      <c r="AP6" s="40"/>
      <c r="AQ6" s="40"/>
      <c r="AR6" s="40"/>
      <c r="AS6" s="40"/>
      <c r="AT6" s="40"/>
      <c r="AU6" s="41"/>
    </row>
    <row r="7" spans="2:47" s="38" customFormat="1" ht="30" customHeight="1" x14ac:dyDescent="0.2">
      <c r="B7" s="78" t="s">
        <v>13</v>
      </c>
      <c r="C7" s="63" t="s">
        <v>67</v>
      </c>
      <c r="D7" s="64"/>
      <c r="E7" s="42">
        <v>6500</v>
      </c>
      <c r="F7" s="18">
        <f t="shared" ref="F7:F19" si="1">E7*G7</f>
        <v>39000</v>
      </c>
      <c r="G7" s="95">
        <f t="shared" si="0"/>
        <v>6</v>
      </c>
      <c r="H7" s="43">
        <v>1</v>
      </c>
      <c r="I7" s="43"/>
      <c r="J7" s="43"/>
      <c r="K7" s="43"/>
      <c r="L7" s="43">
        <v>1</v>
      </c>
      <c r="M7" s="43"/>
      <c r="N7" s="43"/>
      <c r="O7" s="43"/>
      <c r="P7" s="43"/>
      <c r="Q7" s="43"/>
      <c r="R7" s="43"/>
      <c r="S7" s="43"/>
      <c r="T7" s="43"/>
      <c r="U7" s="43"/>
      <c r="V7" s="43"/>
      <c r="W7" s="43">
        <v>1</v>
      </c>
      <c r="X7" s="43"/>
      <c r="Y7" s="43"/>
      <c r="Z7" s="43"/>
      <c r="AA7" s="43"/>
      <c r="AB7" s="43"/>
      <c r="AC7" s="43">
        <v>1</v>
      </c>
      <c r="AD7" s="43">
        <v>1</v>
      </c>
      <c r="AE7" s="43"/>
      <c r="AF7" s="43"/>
      <c r="AG7" s="43"/>
      <c r="AH7" s="43"/>
      <c r="AI7" s="43"/>
      <c r="AJ7" s="43"/>
      <c r="AK7" s="98">
        <v>1</v>
      </c>
      <c r="AL7" s="43"/>
      <c r="AM7" s="43"/>
      <c r="AN7" s="43"/>
      <c r="AO7" s="43"/>
      <c r="AP7" s="43"/>
      <c r="AQ7" s="43"/>
      <c r="AR7" s="43"/>
      <c r="AS7" s="43"/>
      <c r="AT7" s="43"/>
      <c r="AU7" s="44"/>
    </row>
    <row r="8" spans="2:47" s="38" customFormat="1" ht="30" customHeight="1" x14ac:dyDescent="0.2">
      <c r="B8" s="78" t="s">
        <v>14</v>
      </c>
      <c r="C8" s="63" t="s">
        <v>76</v>
      </c>
      <c r="D8" s="64"/>
      <c r="E8" s="42">
        <v>7000</v>
      </c>
      <c r="F8" s="18">
        <f t="shared" si="1"/>
        <v>0</v>
      </c>
      <c r="G8" s="95">
        <f t="shared" si="0"/>
        <v>0</v>
      </c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98"/>
      <c r="AL8" s="43"/>
      <c r="AM8" s="43"/>
      <c r="AN8" s="43"/>
      <c r="AO8" s="43"/>
      <c r="AP8" s="43"/>
      <c r="AQ8" s="43"/>
      <c r="AR8" s="43"/>
      <c r="AS8" s="43"/>
      <c r="AT8" s="43"/>
      <c r="AU8" s="44"/>
    </row>
    <row r="9" spans="2:47" s="38" customFormat="1" ht="30" customHeight="1" x14ac:dyDescent="0.2">
      <c r="B9" s="78" t="s">
        <v>15</v>
      </c>
      <c r="C9" s="63" t="s">
        <v>57</v>
      </c>
      <c r="D9" s="64"/>
      <c r="E9" s="42">
        <v>5500</v>
      </c>
      <c r="F9" s="18">
        <f t="shared" si="1"/>
        <v>121000</v>
      </c>
      <c r="G9" s="95">
        <f t="shared" si="0"/>
        <v>22</v>
      </c>
      <c r="H9" s="43">
        <v>1</v>
      </c>
      <c r="I9" s="43"/>
      <c r="J9" s="43">
        <v>1</v>
      </c>
      <c r="K9" s="43">
        <v>2</v>
      </c>
      <c r="L9" s="43"/>
      <c r="M9" s="43">
        <v>2</v>
      </c>
      <c r="N9" s="43">
        <v>2</v>
      </c>
      <c r="O9" s="43"/>
      <c r="P9" s="43">
        <v>1</v>
      </c>
      <c r="Q9" s="43"/>
      <c r="R9" s="43"/>
      <c r="S9" s="43"/>
      <c r="T9" s="43"/>
      <c r="U9" s="43">
        <v>2</v>
      </c>
      <c r="V9" s="43">
        <v>1</v>
      </c>
      <c r="W9" s="43">
        <v>1</v>
      </c>
      <c r="X9" s="43"/>
      <c r="Y9" s="43">
        <v>1</v>
      </c>
      <c r="Z9" s="43"/>
      <c r="AA9" s="43">
        <v>1</v>
      </c>
      <c r="AB9" s="43">
        <v>1</v>
      </c>
      <c r="AC9" s="43"/>
      <c r="AD9" s="43"/>
      <c r="AE9" s="43"/>
      <c r="AF9" s="43">
        <v>1</v>
      </c>
      <c r="AG9" s="43"/>
      <c r="AH9" s="43"/>
      <c r="AI9" s="43"/>
      <c r="AJ9" s="43"/>
      <c r="AK9" s="98"/>
      <c r="AL9" s="43"/>
      <c r="AM9" s="43">
        <v>2</v>
      </c>
      <c r="AN9" s="43">
        <v>1</v>
      </c>
      <c r="AO9" s="43"/>
      <c r="AP9" s="43">
        <v>2</v>
      </c>
      <c r="AQ9" s="43"/>
      <c r="AR9" s="43"/>
      <c r="AS9" s="43"/>
      <c r="AT9" s="43"/>
      <c r="AU9" s="44"/>
    </row>
    <row r="10" spans="2:47" s="38" customFormat="1" ht="30" customHeight="1" x14ac:dyDescent="0.2">
      <c r="B10" s="78" t="s">
        <v>16</v>
      </c>
      <c r="C10" s="63" t="s">
        <v>60</v>
      </c>
      <c r="D10" s="64"/>
      <c r="E10" s="42">
        <v>4000</v>
      </c>
      <c r="F10" s="18">
        <f t="shared" si="1"/>
        <v>8000</v>
      </c>
      <c r="G10" s="95">
        <f t="shared" si="0"/>
        <v>2</v>
      </c>
      <c r="H10" s="43"/>
      <c r="I10" s="43"/>
      <c r="J10" s="43">
        <v>1</v>
      </c>
      <c r="K10" s="43"/>
      <c r="L10" s="43"/>
      <c r="M10" s="43"/>
      <c r="N10" s="43"/>
      <c r="O10" s="43">
        <v>1</v>
      </c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98"/>
      <c r="AL10" s="43"/>
      <c r="AM10" s="43"/>
      <c r="AN10" s="43"/>
      <c r="AO10" s="43"/>
      <c r="AP10" s="43"/>
      <c r="AQ10" s="43"/>
      <c r="AR10" s="43"/>
      <c r="AS10" s="43"/>
      <c r="AT10" s="43"/>
      <c r="AU10" s="44"/>
    </row>
    <row r="11" spans="2:47" s="38" customFormat="1" ht="30" customHeight="1" x14ac:dyDescent="0.2">
      <c r="B11" s="78" t="s">
        <v>17</v>
      </c>
      <c r="C11" s="63" t="s">
        <v>72</v>
      </c>
      <c r="D11" s="64"/>
      <c r="E11" s="42">
        <v>4000</v>
      </c>
      <c r="F11" s="18">
        <f t="shared" si="1"/>
        <v>20000</v>
      </c>
      <c r="G11" s="95">
        <f t="shared" si="0"/>
        <v>5</v>
      </c>
      <c r="H11" s="43">
        <v>1</v>
      </c>
      <c r="I11" s="43"/>
      <c r="J11" s="43"/>
      <c r="K11" s="43"/>
      <c r="L11" s="43"/>
      <c r="M11" s="43"/>
      <c r="N11" s="43"/>
      <c r="O11" s="43">
        <v>1</v>
      </c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>
        <v>1</v>
      </c>
      <c r="AJ11" s="43"/>
      <c r="AK11" s="98"/>
      <c r="AL11" s="43"/>
      <c r="AM11" s="43">
        <v>1</v>
      </c>
      <c r="AN11" s="43">
        <v>1</v>
      </c>
      <c r="AO11" s="43"/>
      <c r="AP11" s="43"/>
      <c r="AQ11" s="43"/>
      <c r="AR11" s="43"/>
      <c r="AS11" s="43"/>
      <c r="AT11" s="43"/>
      <c r="AU11" s="44"/>
    </row>
    <row r="12" spans="2:47" s="38" customFormat="1" ht="30" customHeight="1" x14ac:dyDescent="0.2">
      <c r="B12" s="78" t="s">
        <v>18</v>
      </c>
      <c r="C12" s="63" t="s">
        <v>73</v>
      </c>
      <c r="D12" s="64"/>
      <c r="E12" s="42">
        <v>4000</v>
      </c>
      <c r="F12" s="18">
        <f t="shared" si="1"/>
        <v>8000</v>
      </c>
      <c r="G12" s="95">
        <f t="shared" si="0"/>
        <v>2</v>
      </c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>
        <v>1</v>
      </c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98"/>
      <c r="AL12" s="43"/>
      <c r="AM12" s="43"/>
      <c r="AN12" s="43"/>
      <c r="AO12" s="43">
        <v>1</v>
      </c>
      <c r="AP12" s="43"/>
      <c r="AQ12" s="43"/>
      <c r="AR12" s="43"/>
      <c r="AS12" s="43"/>
      <c r="AT12" s="43"/>
      <c r="AU12" s="44"/>
    </row>
    <row r="13" spans="2:47" s="38" customFormat="1" ht="30" customHeight="1" x14ac:dyDescent="0.2">
      <c r="B13" s="78" t="s">
        <v>19</v>
      </c>
      <c r="C13" s="63" t="s">
        <v>59</v>
      </c>
      <c r="D13" s="64"/>
      <c r="E13" s="42">
        <v>5000</v>
      </c>
      <c r="F13" s="18">
        <f t="shared" si="1"/>
        <v>20000</v>
      </c>
      <c r="G13" s="95">
        <f t="shared" si="0"/>
        <v>4</v>
      </c>
      <c r="H13" s="45"/>
      <c r="I13" s="45">
        <v>1</v>
      </c>
      <c r="J13" s="45"/>
      <c r="K13" s="45"/>
      <c r="L13" s="45"/>
      <c r="M13" s="45"/>
      <c r="N13" s="45"/>
      <c r="O13" s="45">
        <v>1</v>
      </c>
      <c r="P13" s="45"/>
      <c r="Q13" s="45"/>
      <c r="R13" s="45"/>
      <c r="S13" s="45"/>
      <c r="T13" s="45"/>
      <c r="U13" s="45"/>
      <c r="V13" s="45"/>
      <c r="W13" s="45"/>
      <c r="X13" s="45">
        <v>1</v>
      </c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>
        <v>1</v>
      </c>
      <c r="AK13" s="99"/>
      <c r="AL13" s="43"/>
      <c r="AM13" s="43"/>
      <c r="AN13" s="43"/>
      <c r="AO13" s="43"/>
      <c r="AP13" s="43"/>
      <c r="AQ13" s="43"/>
      <c r="AR13" s="43"/>
      <c r="AS13" s="43"/>
      <c r="AT13" s="43"/>
      <c r="AU13" s="44"/>
    </row>
    <row r="14" spans="2:47" s="38" customFormat="1" ht="30" customHeight="1" x14ac:dyDescent="0.2">
      <c r="B14" s="78" t="s">
        <v>20</v>
      </c>
      <c r="C14" s="63" t="s">
        <v>66</v>
      </c>
      <c r="D14" s="64"/>
      <c r="E14" s="42">
        <v>7000</v>
      </c>
      <c r="F14" s="18">
        <f t="shared" si="1"/>
        <v>14000</v>
      </c>
      <c r="G14" s="95">
        <f t="shared" si="0"/>
        <v>2</v>
      </c>
      <c r="H14" s="43"/>
      <c r="I14" s="43"/>
      <c r="J14" s="43"/>
      <c r="K14" s="43"/>
      <c r="L14" s="43">
        <v>1</v>
      </c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98"/>
      <c r="AL14" s="43">
        <v>1</v>
      </c>
      <c r="AM14" s="43"/>
      <c r="AN14" s="43"/>
      <c r="AO14" s="43"/>
      <c r="AP14" s="43"/>
      <c r="AQ14" s="43"/>
      <c r="AR14" s="43"/>
      <c r="AS14" s="43"/>
      <c r="AT14" s="43"/>
      <c r="AU14" s="44"/>
    </row>
    <row r="15" spans="2:47" s="38" customFormat="1" ht="30" customHeight="1" x14ac:dyDescent="0.2">
      <c r="B15" s="78" t="s">
        <v>21</v>
      </c>
      <c r="C15" s="63" t="s">
        <v>75</v>
      </c>
      <c r="D15" s="64"/>
      <c r="E15" s="42">
        <v>7000</v>
      </c>
      <c r="F15" s="18">
        <f t="shared" si="1"/>
        <v>28000</v>
      </c>
      <c r="G15" s="95">
        <f t="shared" si="0"/>
        <v>4</v>
      </c>
      <c r="H15" s="43"/>
      <c r="I15" s="43">
        <v>1</v>
      </c>
      <c r="J15" s="43"/>
      <c r="K15" s="43"/>
      <c r="L15" s="43">
        <v>1</v>
      </c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>
        <v>1</v>
      </c>
      <c r="AD15" s="43"/>
      <c r="AE15" s="43"/>
      <c r="AF15" s="43"/>
      <c r="AG15" s="43"/>
      <c r="AH15" s="43"/>
      <c r="AI15" s="43"/>
      <c r="AJ15" s="43"/>
      <c r="AK15" s="98"/>
      <c r="AL15" s="43"/>
      <c r="AM15" s="43"/>
      <c r="AN15" s="43"/>
      <c r="AO15" s="43"/>
      <c r="AP15" s="43">
        <v>1</v>
      </c>
      <c r="AQ15" s="43"/>
      <c r="AR15" s="43"/>
      <c r="AS15" s="43"/>
      <c r="AT15" s="43"/>
      <c r="AU15" s="44"/>
    </row>
    <row r="16" spans="2:47" s="38" customFormat="1" ht="30" customHeight="1" x14ac:dyDescent="0.2">
      <c r="B16" s="78" t="s">
        <v>22</v>
      </c>
      <c r="C16" s="63"/>
      <c r="D16" s="64"/>
      <c r="E16" s="42">
        <v>7000</v>
      </c>
      <c r="F16" s="18">
        <f t="shared" si="1"/>
        <v>0</v>
      </c>
      <c r="G16" s="95">
        <f t="shared" si="0"/>
        <v>0</v>
      </c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98"/>
      <c r="AL16" s="43"/>
      <c r="AM16" s="43"/>
      <c r="AN16" s="43"/>
      <c r="AO16" s="43"/>
      <c r="AP16" s="43"/>
      <c r="AQ16" s="43"/>
      <c r="AR16" s="43"/>
      <c r="AS16" s="43"/>
      <c r="AT16" s="43"/>
      <c r="AU16" s="44"/>
    </row>
    <row r="17" spans="2:47" s="38" customFormat="1" ht="30" customHeight="1" x14ac:dyDescent="0.2">
      <c r="B17" s="78" t="s">
        <v>23</v>
      </c>
      <c r="C17" s="63"/>
      <c r="D17" s="64"/>
      <c r="E17" s="42">
        <v>7000</v>
      </c>
      <c r="F17" s="18">
        <f t="shared" si="1"/>
        <v>0</v>
      </c>
      <c r="G17" s="95">
        <f t="shared" si="0"/>
        <v>0</v>
      </c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98"/>
      <c r="AL17" s="43"/>
      <c r="AM17" s="43"/>
      <c r="AN17" s="43"/>
      <c r="AO17" s="43"/>
      <c r="AP17" s="43"/>
      <c r="AQ17" s="43"/>
      <c r="AR17" s="43"/>
      <c r="AS17" s="43"/>
      <c r="AT17" s="43"/>
      <c r="AU17" s="44"/>
    </row>
    <row r="18" spans="2:47" s="38" customFormat="1" ht="30" customHeight="1" x14ac:dyDescent="0.2">
      <c r="B18" s="78" t="s">
        <v>24</v>
      </c>
      <c r="C18" s="63"/>
      <c r="D18" s="64"/>
      <c r="E18" s="42">
        <v>7000</v>
      </c>
      <c r="F18" s="18">
        <f t="shared" si="1"/>
        <v>0</v>
      </c>
      <c r="G18" s="95">
        <f t="shared" si="0"/>
        <v>0</v>
      </c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99"/>
      <c r="AL18" s="43"/>
      <c r="AM18" s="43"/>
      <c r="AN18" s="43"/>
      <c r="AO18" s="43"/>
      <c r="AP18" s="43"/>
      <c r="AQ18" s="43"/>
      <c r="AR18" s="43"/>
      <c r="AS18" s="43"/>
      <c r="AT18" s="43"/>
      <c r="AU18" s="44"/>
    </row>
    <row r="19" spans="2:47" s="38" customFormat="1" ht="30" customHeight="1" x14ac:dyDescent="0.2">
      <c r="B19" s="79" t="s">
        <v>25</v>
      </c>
      <c r="C19" s="65"/>
      <c r="D19" s="9"/>
      <c r="E19" s="61">
        <v>7000</v>
      </c>
      <c r="F19" s="50">
        <f t="shared" si="1"/>
        <v>0</v>
      </c>
      <c r="G19" s="95">
        <f t="shared" si="0"/>
        <v>0</v>
      </c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98"/>
      <c r="AL19" s="45"/>
      <c r="AM19" s="45"/>
      <c r="AN19" s="45"/>
      <c r="AO19" s="45"/>
      <c r="AP19" s="45"/>
      <c r="AQ19" s="45"/>
      <c r="AR19" s="45"/>
      <c r="AS19" s="45"/>
      <c r="AT19" s="45"/>
      <c r="AU19" s="60"/>
    </row>
    <row r="20" spans="2:47" s="38" customFormat="1" ht="20.100000000000001" customHeight="1" x14ac:dyDescent="0.2">
      <c r="B20" s="139" t="s">
        <v>8</v>
      </c>
      <c r="C20" s="140"/>
      <c r="D20" s="144"/>
      <c r="E20" s="146">
        <f>SUM(E6:E8,E10:E15)+E9*2</f>
        <v>61500</v>
      </c>
      <c r="F20" s="125">
        <f t="shared" ref="F20:X20" si="2">SUM(F6:F19)</f>
        <v>318000</v>
      </c>
      <c r="G20" s="125">
        <f t="shared" si="2"/>
        <v>57</v>
      </c>
      <c r="H20" s="23">
        <f t="shared" si="2"/>
        <v>3</v>
      </c>
      <c r="I20" s="23">
        <f t="shared" si="2"/>
        <v>2</v>
      </c>
      <c r="J20" s="23">
        <f t="shared" si="2"/>
        <v>2</v>
      </c>
      <c r="K20" s="23">
        <f t="shared" si="2"/>
        <v>2</v>
      </c>
      <c r="L20" s="23">
        <f t="shared" si="2"/>
        <v>3</v>
      </c>
      <c r="M20" s="23">
        <f t="shared" si="2"/>
        <v>3</v>
      </c>
      <c r="N20" s="23">
        <f t="shared" si="2"/>
        <v>2</v>
      </c>
      <c r="O20" s="23">
        <f t="shared" si="2"/>
        <v>3</v>
      </c>
      <c r="P20" s="23">
        <f t="shared" si="2"/>
        <v>1</v>
      </c>
      <c r="Q20" s="23">
        <f t="shared" si="2"/>
        <v>1</v>
      </c>
      <c r="R20" s="23">
        <f t="shared" si="2"/>
        <v>1</v>
      </c>
      <c r="S20" s="23">
        <f t="shared" si="2"/>
        <v>1</v>
      </c>
      <c r="T20" s="23">
        <f t="shared" si="2"/>
        <v>1</v>
      </c>
      <c r="U20" s="23">
        <f t="shared" si="2"/>
        <v>2</v>
      </c>
      <c r="V20" s="23">
        <f t="shared" si="2"/>
        <v>1</v>
      </c>
      <c r="W20" s="23">
        <f t="shared" si="2"/>
        <v>2</v>
      </c>
      <c r="X20" s="23">
        <f t="shared" si="2"/>
        <v>1</v>
      </c>
      <c r="Y20" s="23">
        <f t="shared" ref="Y20:AH20" si="3">SUM(Y6:Y19)</f>
        <v>1</v>
      </c>
      <c r="Z20" s="23">
        <f t="shared" si="3"/>
        <v>1</v>
      </c>
      <c r="AA20" s="23">
        <f t="shared" si="3"/>
        <v>1</v>
      </c>
      <c r="AB20" s="23">
        <f t="shared" si="3"/>
        <v>1</v>
      </c>
      <c r="AC20" s="23">
        <f t="shared" si="3"/>
        <v>2</v>
      </c>
      <c r="AD20" s="23">
        <f t="shared" si="3"/>
        <v>1</v>
      </c>
      <c r="AE20" s="23">
        <f t="shared" si="3"/>
        <v>1</v>
      </c>
      <c r="AF20" s="23">
        <f t="shared" si="3"/>
        <v>1</v>
      </c>
      <c r="AG20" s="23">
        <f t="shared" si="3"/>
        <v>1</v>
      </c>
      <c r="AH20" s="23">
        <f t="shared" si="3"/>
        <v>1</v>
      </c>
      <c r="AI20" s="23">
        <f>SUM(AI6:AI19)</f>
        <v>2</v>
      </c>
      <c r="AJ20" s="23">
        <f>SUM(AJ6:AJ19)</f>
        <v>1</v>
      </c>
      <c r="AK20" s="100">
        <f>SUM(AK6:AK19)</f>
        <v>2</v>
      </c>
      <c r="AL20" s="101">
        <f>SUM(AL6:AL19)</f>
        <v>1</v>
      </c>
      <c r="AM20" s="101">
        <f t="shared" ref="AM20:AU20" si="4">SUM(AM6:AM19)</f>
        <v>3</v>
      </c>
      <c r="AN20" s="101">
        <f t="shared" si="4"/>
        <v>2</v>
      </c>
      <c r="AO20" s="101">
        <f t="shared" si="4"/>
        <v>1</v>
      </c>
      <c r="AP20" s="101">
        <f t="shared" si="4"/>
        <v>3</v>
      </c>
      <c r="AQ20" s="101">
        <f t="shared" si="4"/>
        <v>0</v>
      </c>
      <c r="AR20" s="101">
        <f t="shared" si="4"/>
        <v>0</v>
      </c>
      <c r="AS20" s="101">
        <f t="shared" si="4"/>
        <v>0</v>
      </c>
      <c r="AT20" s="101">
        <f t="shared" si="4"/>
        <v>0</v>
      </c>
      <c r="AU20" s="102">
        <f t="shared" si="4"/>
        <v>0</v>
      </c>
    </row>
    <row r="21" spans="2:47" s="38" customFormat="1" ht="20.100000000000001" customHeight="1" x14ac:dyDescent="0.2">
      <c r="B21" s="141"/>
      <c r="C21" s="142"/>
      <c r="D21" s="145"/>
      <c r="E21" s="147"/>
      <c r="F21" s="126"/>
      <c r="G21" s="126"/>
      <c r="H21" s="46">
        <f>$E6*H6+$E7*H7+$E8*H8+$E9*H9+$E10*H10+$E11*H11+$E12*H12+$E14*H14+$E15*H15+$E16*H16+$E17*H17+$E18*H18+$E19*H19+$E13*H13</f>
        <v>16000</v>
      </c>
      <c r="I21" s="28">
        <f t="shared" ref="I21:AK21" si="5">$E6*I6+$E7*I7+$E8*I8+$E9*I9+$E10*I10+$E11*I11+$E12*I12+$E14*I14+$E15*I15+$E16*I16+$E17*I17+$E18*I18+$E19*I19+$E13*I13</f>
        <v>12000</v>
      </c>
      <c r="J21" s="28">
        <f t="shared" si="5"/>
        <v>9500</v>
      </c>
      <c r="K21" s="28">
        <f t="shared" si="5"/>
        <v>11000</v>
      </c>
      <c r="L21" s="28">
        <f t="shared" si="5"/>
        <v>20500</v>
      </c>
      <c r="M21" s="28">
        <f t="shared" si="5"/>
        <v>17000</v>
      </c>
      <c r="N21" s="28">
        <f t="shared" si="5"/>
        <v>11000</v>
      </c>
      <c r="O21" s="28">
        <f t="shared" si="5"/>
        <v>13000</v>
      </c>
      <c r="P21" s="28">
        <f t="shared" si="5"/>
        <v>5500</v>
      </c>
      <c r="Q21" s="28">
        <f t="shared" si="5"/>
        <v>6000</v>
      </c>
      <c r="R21" s="28">
        <f t="shared" si="5"/>
        <v>6000</v>
      </c>
      <c r="S21" s="28">
        <f t="shared" si="5"/>
        <v>6000</v>
      </c>
      <c r="T21" s="28">
        <f t="shared" si="5"/>
        <v>6000</v>
      </c>
      <c r="U21" s="28">
        <f t="shared" si="5"/>
        <v>11000</v>
      </c>
      <c r="V21" s="28">
        <f t="shared" si="5"/>
        <v>5500</v>
      </c>
      <c r="W21" s="28">
        <f t="shared" si="5"/>
        <v>12000</v>
      </c>
      <c r="X21" s="28">
        <f t="shared" si="5"/>
        <v>5000</v>
      </c>
      <c r="Y21" s="28">
        <f t="shared" si="5"/>
        <v>5500</v>
      </c>
      <c r="Z21" s="28">
        <f t="shared" si="5"/>
        <v>4000</v>
      </c>
      <c r="AA21" s="28">
        <f t="shared" si="5"/>
        <v>5500</v>
      </c>
      <c r="AB21" s="28">
        <f t="shared" si="5"/>
        <v>5500</v>
      </c>
      <c r="AC21" s="28">
        <f t="shared" si="5"/>
        <v>13500</v>
      </c>
      <c r="AD21" s="28">
        <f t="shared" si="5"/>
        <v>6500</v>
      </c>
      <c r="AE21" s="28">
        <f t="shared" si="5"/>
        <v>6000</v>
      </c>
      <c r="AF21" s="28">
        <f t="shared" si="5"/>
        <v>5500</v>
      </c>
      <c r="AG21" s="28">
        <f t="shared" si="5"/>
        <v>6000</v>
      </c>
      <c r="AH21" s="28">
        <f t="shared" si="5"/>
        <v>6000</v>
      </c>
      <c r="AI21" s="28">
        <f t="shared" si="5"/>
        <v>10000</v>
      </c>
      <c r="AJ21" s="28">
        <f t="shared" si="5"/>
        <v>5000</v>
      </c>
      <c r="AK21" s="74">
        <f t="shared" si="5"/>
        <v>12500</v>
      </c>
      <c r="AL21" s="28">
        <f>$E6*AL6+$E7*AL7+$E8*AL8+$E9*AL9+$E10*AL10+$E11*AL11+$E12*AL12+$E14*AL14+$E15*AL15+$E16*AL16+$E17*AL17+$E18*AL18+$E19*AL19+$E13*AL13</f>
        <v>7000</v>
      </c>
      <c r="AM21" s="28">
        <f>$E6*AM6+$E7*AM7+$E8*AM8+$E9*AM9+$E10*AM10+$E11*AM11+$E12*AM12+$E14*AM14+$E15*AM15+$E16*AM16+$E17*AM17+$E18*AM18+$E19*AM19+$E13*AM13</f>
        <v>15000</v>
      </c>
      <c r="AN21" s="28">
        <f>$E6*AN6+$E7*AN7+$E8*AN8+$E9*AN9+$E10*AN10+$E11*AN11+$E12*AN12+$E14*AN14+$E15*AN15+$E16*AN16+$E17*AN17+$E18*AN18+$E19*AN19+$E13*AN13</f>
        <v>9500</v>
      </c>
      <c r="AO21" s="28">
        <f t="shared" ref="AO21:AU21" si="6">$E6*AO6+$E7*AO7+$E8*AO8+$E9*AO9+$E10*AO10+$E11*AO11+$E12*AO12+$E14*AO14+$E15*AO15+$E16*AO16+$E17*AO17+$E18*AO18+$E19*AO19+$E13*AO13</f>
        <v>4000</v>
      </c>
      <c r="AP21" s="28">
        <f t="shared" si="6"/>
        <v>18000</v>
      </c>
      <c r="AQ21" s="28">
        <f t="shared" si="6"/>
        <v>0</v>
      </c>
      <c r="AR21" s="28">
        <f t="shared" si="6"/>
        <v>0</v>
      </c>
      <c r="AS21" s="28">
        <f t="shared" si="6"/>
        <v>0</v>
      </c>
      <c r="AT21" s="28">
        <f t="shared" si="6"/>
        <v>0</v>
      </c>
      <c r="AU21" s="29">
        <f t="shared" si="6"/>
        <v>0</v>
      </c>
    </row>
  </sheetData>
  <sheetProtection password="CC67" sheet="1" objects="1" scenarios="1"/>
  <mergeCells count="10">
    <mergeCell ref="B20:D21"/>
    <mergeCell ref="E20:E21"/>
    <mergeCell ref="F20:F21"/>
    <mergeCell ref="G20:G21"/>
    <mergeCell ref="B2:G2"/>
    <mergeCell ref="B4:B5"/>
    <mergeCell ref="C4:C5"/>
    <mergeCell ref="D4:D5"/>
    <mergeCell ref="E4:E5"/>
    <mergeCell ref="F4:F5"/>
  </mergeCells>
  <phoneticPr fontId="2" type="noConversion"/>
  <pageMargins left="0.7" right="0.7" top="0.75" bottom="0.75" header="0.3" footer="0.3"/>
  <pageSetup paperSize="9" scale="31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B1:AU21"/>
  <sheetViews>
    <sheetView showGridLines="0" zoomScale="85" zoomScaleNormal="85" workbookViewId="0">
      <pane xSplit="7" ySplit="5" topLeftCell="O6" activePane="bottomRight" state="frozen"/>
      <selection pane="topRight" activeCell="G1" sqref="G1"/>
      <selection pane="bottomLeft" activeCell="A6" sqref="A6"/>
      <selection pane="bottomRight" activeCell="D17" sqref="D17"/>
    </sheetView>
  </sheetViews>
  <sheetFormatPr defaultColWidth="9.125" defaultRowHeight="14.25" x14ac:dyDescent="0.2"/>
  <cols>
    <col min="1" max="1" width="0.375" style="1" customWidth="1"/>
    <col min="2" max="2" width="16.875" style="1" bestFit="1" customWidth="1"/>
    <col min="3" max="4" width="13.625" style="1" customWidth="1"/>
    <col min="5" max="5" width="10.625" style="1" hidden="1" customWidth="1"/>
    <col min="6" max="6" width="10.625" style="1" customWidth="1"/>
    <col min="7" max="7" width="10.625" style="3" customWidth="1"/>
    <col min="8" max="22" width="10.625" style="4" customWidth="1"/>
    <col min="23" max="47" width="10.625" style="1" customWidth="1"/>
    <col min="48" max="16384" width="9.125" style="1"/>
  </cols>
  <sheetData>
    <row r="1" spans="2:47" ht="3.75" customHeight="1" x14ac:dyDescent="0.2"/>
    <row r="2" spans="2:47" ht="20.25" x14ac:dyDescent="0.2">
      <c r="B2" s="149" t="s">
        <v>26</v>
      </c>
      <c r="C2" s="149"/>
      <c r="D2" s="149"/>
      <c r="E2" s="149"/>
      <c r="F2" s="149"/>
      <c r="G2" s="149"/>
    </row>
    <row r="3" spans="2:47" ht="4.9000000000000004" customHeight="1" x14ac:dyDescent="0.2"/>
    <row r="4" spans="2:47" s="38" customFormat="1" ht="20.100000000000001" customHeight="1" x14ac:dyDescent="0.2">
      <c r="B4" s="150" t="s">
        <v>3</v>
      </c>
      <c r="C4" s="123" t="s">
        <v>45</v>
      </c>
      <c r="D4" s="153" t="s">
        <v>46</v>
      </c>
      <c r="E4" s="135" t="s">
        <v>4</v>
      </c>
      <c r="F4" s="129" t="s">
        <v>5</v>
      </c>
      <c r="G4" s="32" t="s">
        <v>0</v>
      </c>
      <c r="H4" s="33">
        <v>1</v>
      </c>
      <c r="I4" s="34">
        <v>2</v>
      </c>
      <c r="J4" s="34">
        <v>3</v>
      </c>
      <c r="K4" s="34">
        <v>4</v>
      </c>
      <c r="L4" s="34">
        <v>5</v>
      </c>
      <c r="M4" s="34">
        <v>6</v>
      </c>
      <c r="N4" s="34">
        <v>7</v>
      </c>
      <c r="O4" s="34">
        <v>8</v>
      </c>
      <c r="P4" s="34">
        <v>9</v>
      </c>
      <c r="Q4" s="34">
        <v>10</v>
      </c>
      <c r="R4" s="34">
        <v>11</v>
      </c>
      <c r="S4" s="34">
        <v>12</v>
      </c>
      <c r="T4" s="34">
        <v>13</v>
      </c>
      <c r="U4" s="34">
        <v>14</v>
      </c>
      <c r="V4" s="34">
        <v>15</v>
      </c>
      <c r="W4" s="34">
        <v>16</v>
      </c>
      <c r="X4" s="34">
        <v>17</v>
      </c>
      <c r="Y4" s="33">
        <v>18</v>
      </c>
      <c r="Z4" s="34">
        <v>19</v>
      </c>
      <c r="AA4" s="34">
        <v>20</v>
      </c>
      <c r="AB4" s="34">
        <v>21</v>
      </c>
      <c r="AC4" s="34">
        <v>22</v>
      </c>
      <c r="AD4" s="34">
        <v>23</v>
      </c>
      <c r="AE4" s="34">
        <v>24</v>
      </c>
      <c r="AF4" s="34">
        <v>25</v>
      </c>
      <c r="AG4" s="34">
        <v>26</v>
      </c>
      <c r="AH4" s="34">
        <v>27</v>
      </c>
      <c r="AI4" s="34">
        <v>28</v>
      </c>
      <c r="AJ4" s="34">
        <v>29</v>
      </c>
      <c r="AK4" s="96">
        <v>30</v>
      </c>
      <c r="AL4" s="34">
        <v>31</v>
      </c>
      <c r="AM4" s="34">
        <v>32</v>
      </c>
      <c r="AN4" s="34">
        <v>33</v>
      </c>
      <c r="AO4" s="34">
        <v>34</v>
      </c>
      <c r="AP4" s="34">
        <v>35</v>
      </c>
      <c r="AQ4" s="34">
        <v>36</v>
      </c>
      <c r="AR4" s="34">
        <v>37</v>
      </c>
      <c r="AS4" s="34">
        <v>38</v>
      </c>
      <c r="AT4" s="34">
        <v>39</v>
      </c>
      <c r="AU4" s="35">
        <v>40</v>
      </c>
    </row>
    <row r="5" spans="2:47" s="38" customFormat="1" ht="20.100000000000001" customHeight="1" x14ac:dyDescent="0.2">
      <c r="B5" s="151"/>
      <c r="C5" s="152"/>
      <c r="D5" s="154"/>
      <c r="E5" s="136"/>
      <c r="F5" s="130"/>
      <c r="G5" s="36" t="s">
        <v>1</v>
      </c>
      <c r="H5" s="37">
        <v>1402</v>
      </c>
      <c r="I5" s="37">
        <v>1021</v>
      </c>
      <c r="J5" s="37">
        <v>1019</v>
      </c>
      <c r="K5" s="37">
        <v>524</v>
      </c>
      <c r="L5" s="37">
        <v>1220</v>
      </c>
      <c r="M5" s="37">
        <v>1625</v>
      </c>
      <c r="N5" s="37">
        <v>610</v>
      </c>
      <c r="O5" s="37">
        <v>1415</v>
      </c>
      <c r="P5" s="37">
        <v>608</v>
      </c>
      <c r="Q5" s="37">
        <v>829</v>
      </c>
      <c r="R5" s="37">
        <v>1230</v>
      </c>
      <c r="S5" s="37">
        <v>612</v>
      </c>
      <c r="T5" s="37">
        <v>514</v>
      </c>
      <c r="U5" s="37">
        <v>626</v>
      </c>
      <c r="V5" s="37">
        <v>628</v>
      </c>
      <c r="W5" s="37">
        <v>920</v>
      </c>
      <c r="X5" s="37">
        <v>616</v>
      </c>
      <c r="Y5" s="37">
        <v>619</v>
      </c>
      <c r="Z5" s="37">
        <v>901</v>
      </c>
      <c r="AA5" s="37">
        <v>1811</v>
      </c>
      <c r="AB5" s="37">
        <v>1528</v>
      </c>
      <c r="AC5" s="37">
        <v>1121</v>
      </c>
      <c r="AD5" s="37">
        <v>929</v>
      </c>
      <c r="AE5" s="37">
        <v>906</v>
      </c>
      <c r="AF5" s="37">
        <v>915</v>
      </c>
      <c r="AG5" s="37"/>
      <c r="AH5" s="37"/>
      <c r="AI5" s="37"/>
      <c r="AJ5" s="37"/>
      <c r="AK5" s="94"/>
      <c r="AL5" s="7"/>
      <c r="AM5" s="7"/>
      <c r="AN5" s="7"/>
      <c r="AO5" s="7"/>
      <c r="AP5" s="7"/>
      <c r="AQ5" s="7"/>
      <c r="AR5" s="7"/>
      <c r="AS5" s="7"/>
      <c r="AT5" s="7"/>
      <c r="AU5" s="9"/>
    </row>
    <row r="6" spans="2:47" s="38" customFormat="1" ht="30" customHeight="1" x14ac:dyDescent="0.2">
      <c r="B6" s="77" t="s">
        <v>12</v>
      </c>
      <c r="C6" s="62" t="s">
        <v>67</v>
      </c>
      <c r="D6" s="35"/>
      <c r="E6" s="39">
        <v>6000</v>
      </c>
      <c r="F6" s="12">
        <f>E6*G6</f>
        <v>54000</v>
      </c>
      <c r="G6" s="95">
        <f t="shared" ref="G6:G19" si="0">SUM(H6:AU6)</f>
        <v>9</v>
      </c>
      <c r="H6" s="40">
        <v>1</v>
      </c>
      <c r="I6" s="40"/>
      <c r="J6" s="40"/>
      <c r="K6" s="40">
        <v>1</v>
      </c>
      <c r="L6" s="40">
        <v>1</v>
      </c>
      <c r="M6" s="40">
        <v>1</v>
      </c>
      <c r="N6" s="40">
        <v>1</v>
      </c>
      <c r="O6" s="40"/>
      <c r="P6" s="40">
        <v>1</v>
      </c>
      <c r="Q6" s="40"/>
      <c r="R6" s="40"/>
      <c r="S6" s="40"/>
      <c r="T6" s="40">
        <v>1</v>
      </c>
      <c r="U6" s="40"/>
      <c r="V6" s="40"/>
      <c r="W6" s="40"/>
      <c r="X6" s="40"/>
      <c r="Y6" s="40">
        <v>1</v>
      </c>
      <c r="Z6" s="40"/>
      <c r="AA6" s="40">
        <v>1</v>
      </c>
      <c r="AB6" s="40"/>
      <c r="AC6" s="40"/>
      <c r="AD6" s="40"/>
      <c r="AE6" s="40"/>
      <c r="AF6" s="40"/>
      <c r="AG6" s="40"/>
      <c r="AH6" s="40"/>
      <c r="AI6" s="40"/>
      <c r="AJ6" s="40"/>
      <c r="AK6" s="97"/>
      <c r="AL6" s="40"/>
      <c r="AM6" s="40"/>
      <c r="AN6" s="40"/>
      <c r="AO6" s="40"/>
      <c r="AP6" s="40"/>
      <c r="AQ6" s="40"/>
      <c r="AR6" s="40"/>
      <c r="AS6" s="40"/>
      <c r="AT6" s="40"/>
      <c r="AU6" s="41"/>
    </row>
    <row r="7" spans="2:47" s="38" customFormat="1" ht="30" customHeight="1" x14ac:dyDescent="0.2">
      <c r="B7" s="78" t="s">
        <v>13</v>
      </c>
      <c r="C7" s="63" t="s">
        <v>67</v>
      </c>
      <c r="D7" s="64"/>
      <c r="E7" s="42">
        <v>6500</v>
      </c>
      <c r="F7" s="18">
        <f t="shared" ref="F7:F19" si="1">E7*G7</f>
        <v>58500</v>
      </c>
      <c r="G7" s="95">
        <f t="shared" si="0"/>
        <v>9</v>
      </c>
      <c r="H7" s="43">
        <v>1</v>
      </c>
      <c r="I7" s="43"/>
      <c r="J7" s="43"/>
      <c r="K7" s="43"/>
      <c r="L7" s="43">
        <v>1</v>
      </c>
      <c r="M7" s="43"/>
      <c r="N7" s="43">
        <v>1</v>
      </c>
      <c r="O7" s="43"/>
      <c r="P7" s="43">
        <v>1</v>
      </c>
      <c r="Q7" s="43"/>
      <c r="R7" s="43"/>
      <c r="S7" s="43"/>
      <c r="T7" s="43"/>
      <c r="U7" s="43"/>
      <c r="V7" s="43">
        <v>1</v>
      </c>
      <c r="W7" s="43"/>
      <c r="X7" s="43"/>
      <c r="Y7" s="43">
        <v>1</v>
      </c>
      <c r="Z7" s="43">
        <v>1</v>
      </c>
      <c r="AA7" s="43"/>
      <c r="AB7" s="43"/>
      <c r="AC7" s="43"/>
      <c r="AD7" s="43">
        <v>1</v>
      </c>
      <c r="AE7" s="43">
        <v>1</v>
      </c>
      <c r="AF7" s="43"/>
      <c r="AG7" s="43"/>
      <c r="AH7" s="43"/>
      <c r="AI7" s="43"/>
      <c r="AJ7" s="43"/>
      <c r="AK7" s="98"/>
      <c r="AL7" s="43"/>
      <c r="AM7" s="43"/>
      <c r="AN7" s="43"/>
      <c r="AO7" s="43"/>
      <c r="AP7" s="43"/>
      <c r="AQ7" s="43"/>
      <c r="AR7" s="43"/>
      <c r="AS7" s="43"/>
      <c r="AT7" s="43"/>
      <c r="AU7" s="44"/>
    </row>
    <row r="8" spans="2:47" s="38" customFormat="1" ht="30" customHeight="1" x14ac:dyDescent="0.2">
      <c r="B8" s="78" t="s">
        <v>14</v>
      </c>
      <c r="C8" s="63" t="s">
        <v>76</v>
      </c>
      <c r="D8" s="64"/>
      <c r="E8" s="42">
        <v>7000</v>
      </c>
      <c r="F8" s="18">
        <f t="shared" si="1"/>
        <v>0</v>
      </c>
      <c r="G8" s="95">
        <f t="shared" si="0"/>
        <v>0</v>
      </c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98"/>
      <c r="AL8" s="43"/>
      <c r="AM8" s="43"/>
      <c r="AN8" s="43"/>
      <c r="AO8" s="43"/>
      <c r="AP8" s="43"/>
      <c r="AQ8" s="43"/>
      <c r="AR8" s="43"/>
      <c r="AS8" s="43"/>
      <c r="AT8" s="43"/>
      <c r="AU8" s="44"/>
    </row>
    <row r="9" spans="2:47" s="38" customFormat="1" ht="30" customHeight="1" x14ac:dyDescent="0.2">
      <c r="B9" s="78" t="s">
        <v>15</v>
      </c>
      <c r="C9" s="63" t="s">
        <v>57</v>
      </c>
      <c r="D9" s="64"/>
      <c r="E9" s="42">
        <v>5500</v>
      </c>
      <c r="F9" s="18">
        <f t="shared" si="1"/>
        <v>38500</v>
      </c>
      <c r="G9" s="95">
        <f t="shared" si="0"/>
        <v>7</v>
      </c>
      <c r="H9" s="43"/>
      <c r="I9" s="43"/>
      <c r="J9" s="43"/>
      <c r="K9" s="43"/>
      <c r="L9" s="43"/>
      <c r="M9" s="43"/>
      <c r="N9" s="43"/>
      <c r="O9" s="43"/>
      <c r="P9" s="43"/>
      <c r="Q9" s="43">
        <v>1</v>
      </c>
      <c r="R9" s="43">
        <v>1</v>
      </c>
      <c r="S9" s="43">
        <v>1</v>
      </c>
      <c r="T9" s="43"/>
      <c r="U9" s="43">
        <v>1</v>
      </c>
      <c r="V9" s="43"/>
      <c r="W9" s="43"/>
      <c r="X9" s="43">
        <v>1</v>
      </c>
      <c r="Y9" s="43"/>
      <c r="Z9" s="43"/>
      <c r="AA9" s="43">
        <v>2</v>
      </c>
      <c r="AB9" s="43"/>
      <c r="AC9" s="43"/>
      <c r="AD9" s="43"/>
      <c r="AE9" s="43"/>
      <c r="AF9" s="43"/>
      <c r="AG9" s="43"/>
      <c r="AH9" s="43"/>
      <c r="AI9" s="43"/>
      <c r="AJ9" s="43"/>
      <c r="AK9" s="98"/>
      <c r="AL9" s="43"/>
      <c r="AM9" s="43"/>
      <c r="AN9" s="43"/>
      <c r="AO9" s="43"/>
      <c r="AP9" s="43"/>
      <c r="AQ9" s="43"/>
      <c r="AR9" s="43"/>
      <c r="AS9" s="43"/>
      <c r="AT9" s="43"/>
      <c r="AU9" s="44"/>
    </row>
    <row r="10" spans="2:47" s="38" customFormat="1" ht="30" customHeight="1" x14ac:dyDescent="0.2">
      <c r="B10" s="78" t="s">
        <v>16</v>
      </c>
      <c r="C10" s="63" t="s">
        <v>60</v>
      </c>
      <c r="D10" s="64"/>
      <c r="E10" s="42">
        <v>4000</v>
      </c>
      <c r="F10" s="18">
        <f t="shared" si="1"/>
        <v>0</v>
      </c>
      <c r="G10" s="95">
        <f t="shared" si="0"/>
        <v>0</v>
      </c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98"/>
      <c r="AL10" s="43"/>
      <c r="AM10" s="43"/>
      <c r="AN10" s="43"/>
      <c r="AO10" s="43"/>
      <c r="AP10" s="43"/>
      <c r="AQ10" s="43"/>
      <c r="AR10" s="43"/>
      <c r="AS10" s="43"/>
      <c r="AT10" s="43"/>
      <c r="AU10" s="44"/>
    </row>
    <row r="11" spans="2:47" s="38" customFormat="1" ht="30" customHeight="1" x14ac:dyDescent="0.2">
      <c r="B11" s="78" t="s">
        <v>17</v>
      </c>
      <c r="C11" s="63" t="s">
        <v>72</v>
      </c>
      <c r="D11" s="64"/>
      <c r="E11" s="42">
        <v>4000</v>
      </c>
      <c r="F11" s="18">
        <f t="shared" si="1"/>
        <v>12000</v>
      </c>
      <c r="G11" s="95">
        <f t="shared" si="0"/>
        <v>3</v>
      </c>
      <c r="H11" s="43"/>
      <c r="I11" s="43">
        <v>1</v>
      </c>
      <c r="J11" s="43">
        <v>1</v>
      </c>
      <c r="K11" s="43"/>
      <c r="L11" s="43"/>
      <c r="M11" s="43">
        <v>1</v>
      </c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98"/>
      <c r="AL11" s="43"/>
      <c r="AM11" s="43"/>
      <c r="AN11" s="43"/>
      <c r="AO11" s="43"/>
      <c r="AP11" s="43"/>
      <c r="AQ11" s="43"/>
      <c r="AR11" s="43"/>
      <c r="AS11" s="43"/>
      <c r="AT11" s="43"/>
      <c r="AU11" s="44"/>
    </row>
    <row r="12" spans="2:47" s="38" customFormat="1" ht="30" customHeight="1" x14ac:dyDescent="0.2">
      <c r="B12" s="78" t="s">
        <v>18</v>
      </c>
      <c r="C12" s="63" t="s">
        <v>73</v>
      </c>
      <c r="D12" s="64"/>
      <c r="E12" s="42">
        <v>4000</v>
      </c>
      <c r="F12" s="18">
        <f t="shared" si="1"/>
        <v>8000</v>
      </c>
      <c r="G12" s="95">
        <f t="shared" si="0"/>
        <v>2</v>
      </c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>
        <v>1</v>
      </c>
      <c r="X12" s="43"/>
      <c r="Y12" s="43"/>
      <c r="Z12" s="43"/>
      <c r="AA12" s="43"/>
      <c r="AB12" s="43"/>
      <c r="AC12" s="43">
        <v>1</v>
      </c>
      <c r="AD12" s="43"/>
      <c r="AE12" s="43"/>
      <c r="AF12" s="43"/>
      <c r="AG12" s="43"/>
      <c r="AH12" s="43"/>
      <c r="AI12" s="43"/>
      <c r="AJ12" s="43"/>
      <c r="AK12" s="98"/>
      <c r="AL12" s="43"/>
      <c r="AM12" s="43"/>
      <c r="AN12" s="43"/>
      <c r="AO12" s="43"/>
      <c r="AP12" s="43"/>
      <c r="AQ12" s="43"/>
      <c r="AR12" s="43"/>
      <c r="AS12" s="43"/>
      <c r="AT12" s="43"/>
      <c r="AU12" s="44"/>
    </row>
    <row r="13" spans="2:47" s="38" customFormat="1" ht="30" customHeight="1" x14ac:dyDescent="0.2">
      <c r="B13" s="78" t="s">
        <v>19</v>
      </c>
      <c r="C13" s="63" t="s">
        <v>59</v>
      </c>
      <c r="D13" s="64"/>
      <c r="E13" s="42">
        <v>5000</v>
      </c>
      <c r="F13" s="18">
        <f t="shared" si="1"/>
        <v>5000</v>
      </c>
      <c r="G13" s="95">
        <f t="shared" si="0"/>
        <v>1</v>
      </c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>
        <v>1</v>
      </c>
      <c r="AC13" s="45"/>
      <c r="AD13" s="45"/>
      <c r="AE13" s="45"/>
      <c r="AF13" s="45"/>
      <c r="AG13" s="45"/>
      <c r="AH13" s="45"/>
      <c r="AI13" s="45"/>
      <c r="AJ13" s="45"/>
      <c r="AK13" s="99"/>
      <c r="AL13" s="43"/>
      <c r="AM13" s="43"/>
      <c r="AN13" s="43"/>
      <c r="AO13" s="43"/>
      <c r="AP13" s="43"/>
      <c r="AQ13" s="43"/>
      <c r="AR13" s="43"/>
      <c r="AS13" s="43"/>
      <c r="AT13" s="43"/>
      <c r="AU13" s="44"/>
    </row>
    <row r="14" spans="2:47" s="38" customFormat="1" ht="30" customHeight="1" x14ac:dyDescent="0.2">
      <c r="B14" s="78" t="s">
        <v>20</v>
      </c>
      <c r="C14" s="63" t="s">
        <v>66</v>
      </c>
      <c r="D14" s="64"/>
      <c r="E14" s="42">
        <v>7000</v>
      </c>
      <c r="F14" s="18">
        <f t="shared" si="1"/>
        <v>14000</v>
      </c>
      <c r="G14" s="95">
        <f t="shared" si="0"/>
        <v>2</v>
      </c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>
        <v>1</v>
      </c>
      <c r="X14" s="43"/>
      <c r="Y14" s="43"/>
      <c r="Z14" s="43"/>
      <c r="AA14" s="43"/>
      <c r="AB14" s="43"/>
      <c r="AC14" s="43"/>
      <c r="AD14" s="43"/>
      <c r="AE14" s="43"/>
      <c r="AF14" s="43">
        <v>1</v>
      </c>
      <c r="AG14" s="43"/>
      <c r="AH14" s="43"/>
      <c r="AI14" s="43"/>
      <c r="AJ14" s="43"/>
      <c r="AK14" s="98"/>
      <c r="AL14" s="43"/>
      <c r="AM14" s="43"/>
      <c r="AN14" s="43"/>
      <c r="AO14" s="43"/>
      <c r="AP14" s="43"/>
      <c r="AQ14" s="43"/>
      <c r="AR14" s="43"/>
      <c r="AS14" s="43"/>
      <c r="AT14" s="43"/>
      <c r="AU14" s="44"/>
    </row>
    <row r="15" spans="2:47" s="38" customFormat="1" ht="30" customHeight="1" x14ac:dyDescent="0.2">
      <c r="B15" s="78" t="s">
        <v>21</v>
      </c>
      <c r="C15" s="63" t="s">
        <v>75</v>
      </c>
      <c r="D15" s="64"/>
      <c r="E15" s="42">
        <v>7000</v>
      </c>
      <c r="F15" s="18">
        <f t="shared" si="1"/>
        <v>14000</v>
      </c>
      <c r="G15" s="95">
        <f t="shared" si="0"/>
        <v>2</v>
      </c>
      <c r="H15" s="43"/>
      <c r="I15" s="43"/>
      <c r="J15" s="43"/>
      <c r="K15" s="43"/>
      <c r="L15" s="43"/>
      <c r="M15" s="43"/>
      <c r="N15" s="43"/>
      <c r="O15" s="43">
        <v>1</v>
      </c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>
        <v>1</v>
      </c>
      <c r="AG15" s="43"/>
      <c r="AH15" s="43"/>
      <c r="AI15" s="43"/>
      <c r="AJ15" s="43"/>
      <c r="AK15" s="98"/>
      <c r="AL15" s="43"/>
      <c r="AM15" s="43"/>
      <c r="AN15" s="43"/>
      <c r="AO15" s="43"/>
      <c r="AP15" s="43"/>
      <c r="AQ15" s="43"/>
      <c r="AR15" s="43"/>
      <c r="AS15" s="43"/>
      <c r="AT15" s="43"/>
      <c r="AU15" s="44"/>
    </row>
    <row r="16" spans="2:47" s="38" customFormat="1" ht="30" customHeight="1" x14ac:dyDescent="0.2">
      <c r="B16" s="78" t="s">
        <v>22</v>
      </c>
      <c r="C16" s="63"/>
      <c r="D16" s="64"/>
      <c r="E16" s="42">
        <v>7000</v>
      </c>
      <c r="F16" s="18">
        <f t="shared" si="1"/>
        <v>0</v>
      </c>
      <c r="G16" s="95">
        <f t="shared" si="0"/>
        <v>0</v>
      </c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98"/>
      <c r="AL16" s="43"/>
      <c r="AM16" s="43"/>
      <c r="AN16" s="43"/>
      <c r="AO16" s="43"/>
      <c r="AP16" s="43"/>
      <c r="AQ16" s="43"/>
      <c r="AR16" s="43"/>
      <c r="AS16" s="43"/>
      <c r="AT16" s="43"/>
      <c r="AU16" s="44"/>
    </row>
    <row r="17" spans="2:47" s="38" customFormat="1" ht="30" customHeight="1" x14ac:dyDescent="0.2">
      <c r="B17" s="78" t="s">
        <v>23</v>
      </c>
      <c r="C17" s="63"/>
      <c r="D17" s="64"/>
      <c r="E17" s="42">
        <v>7000</v>
      </c>
      <c r="F17" s="18">
        <f t="shared" si="1"/>
        <v>0</v>
      </c>
      <c r="G17" s="95">
        <f t="shared" si="0"/>
        <v>0</v>
      </c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98"/>
      <c r="AL17" s="43"/>
      <c r="AM17" s="43"/>
      <c r="AN17" s="43"/>
      <c r="AO17" s="43"/>
      <c r="AP17" s="43"/>
      <c r="AQ17" s="43"/>
      <c r="AR17" s="43"/>
      <c r="AS17" s="43"/>
      <c r="AT17" s="43"/>
      <c r="AU17" s="44"/>
    </row>
    <row r="18" spans="2:47" s="38" customFormat="1" ht="30" customHeight="1" x14ac:dyDescent="0.2">
      <c r="B18" s="78" t="s">
        <v>24</v>
      </c>
      <c r="C18" s="63"/>
      <c r="D18" s="64"/>
      <c r="E18" s="42">
        <v>7000</v>
      </c>
      <c r="F18" s="18">
        <f t="shared" si="1"/>
        <v>0</v>
      </c>
      <c r="G18" s="95">
        <f t="shared" si="0"/>
        <v>0</v>
      </c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99"/>
      <c r="AL18" s="43"/>
      <c r="AM18" s="43"/>
      <c r="AN18" s="43"/>
      <c r="AO18" s="43"/>
      <c r="AP18" s="43"/>
      <c r="AQ18" s="43"/>
      <c r="AR18" s="43"/>
      <c r="AS18" s="43"/>
      <c r="AT18" s="43"/>
      <c r="AU18" s="44"/>
    </row>
    <row r="19" spans="2:47" s="38" customFormat="1" ht="30" customHeight="1" x14ac:dyDescent="0.2">
      <c r="B19" s="79" t="s">
        <v>25</v>
      </c>
      <c r="C19" s="65"/>
      <c r="D19" s="9"/>
      <c r="E19" s="61">
        <v>7000</v>
      </c>
      <c r="F19" s="50">
        <f t="shared" si="1"/>
        <v>0</v>
      </c>
      <c r="G19" s="95">
        <f t="shared" si="0"/>
        <v>0</v>
      </c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98"/>
      <c r="AL19" s="45"/>
      <c r="AM19" s="45"/>
      <c r="AN19" s="45"/>
      <c r="AO19" s="45"/>
      <c r="AP19" s="45"/>
      <c r="AQ19" s="45"/>
      <c r="AR19" s="45"/>
      <c r="AS19" s="45"/>
      <c r="AT19" s="45"/>
      <c r="AU19" s="60"/>
    </row>
    <row r="20" spans="2:47" s="38" customFormat="1" ht="20.100000000000001" customHeight="1" x14ac:dyDescent="0.2">
      <c r="B20" s="139" t="s">
        <v>8</v>
      </c>
      <c r="C20" s="140"/>
      <c r="D20" s="144"/>
      <c r="E20" s="146">
        <f>SUM(E6:E8,E10:E15)+E9*2</f>
        <v>61500</v>
      </c>
      <c r="F20" s="125">
        <f t="shared" ref="F20:X20" si="2">SUM(F6:F19)</f>
        <v>204000</v>
      </c>
      <c r="G20" s="125">
        <f t="shared" si="2"/>
        <v>35</v>
      </c>
      <c r="H20" s="23">
        <f t="shared" si="2"/>
        <v>2</v>
      </c>
      <c r="I20" s="23">
        <f t="shared" si="2"/>
        <v>1</v>
      </c>
      <c r="J20" s="23">
        <f t="shared" si="2"/>
        <v>1</v>
      </c>
      <c r="K20" s="23">
        <f t="shared" si="2"/>
        <v>1</v>
      </c>
      <c r="L20" s="23">
        <f t="shared" si="2"/>
        <v>2</v>
      </c>
      <c r="M20" s="23">
        <f t="shared" si="2"/>
        <v>2</v>
      </c>
      <c r="N20" s="23">
        <f t="shared" si="2"/>
        <v>2</v>
      </c>
      <c r="O20" s="23">
        <f t="shared" si="2"/>
        <v>1</v>
      </c>
      <c r="P20" s="23">
        <f t="shared" si="2"/>
        <v>2</v>
      </c>
      <c r="Q20" s="23">
        <f t="shared" si="2"/>
        <v>1</v>
      </c>
      <c r="R20" s="23">
        <f t="shared" si="2"/>
        <v>1</v>
      </c>
      <c r="S20" s="23">
        <f t="shared" si="2"/>
        <v>1</v>
      </c>
      <c r="T20" s="23">
        <f t="shared" si="2"/>
        <v>1</v>
      </c>
      <c r="U20" s="23">
        <f t="shared" si="2"/>
        <v>1</v>
      </c>
      <c r="V20" s="23">
        <f t="shared" si="2"/>
        <v>1</v>
      </c>
      <c r="W20" s="23">
        <f t="shared" si="2"/>
        <v>2</v>
      </c>
      <c r="X20" s="23">
        <f t="shared" si="2"/>
        <v>1</v>
      </c>
      <c r="Y20" s="23">
        <f t="shared" ref="Y20:AH20" si="3">SUM(Y6:Y19)</f>
        <v>2</v>
      </c>
      <c r="Z20" s="23">
        <f t="shared" si="3"/>
        <v>1</v>
      </c>
      <c r="AA20" s="23">
        <f t="shared" si="3"/>
        <v>3</v>
      </c>
      <c r="AB20" s="23">
        <f t="shared" si="3"/>
        <v>1</v>
      </c>
      <c r="AC20" s="23">
        <f t="shared" si="3"/>
        <v>1</v>
      </c>
      <c r="AD20" s="23">
        <f t="shared" si="3"/>
        <v>1</v>
      </c>
      <c r="AE20" s="23">
        <f t="shared" si="3"/>
        <v>1</v>
      </c>
      <c r="AF20" s="23">
        <f t="shared" si="3"/>
        <v>2</v>
      </c>
      <c r="AG20" s="23">
        <f t="shared" si="3"/>
        <v>0</v>
      </c>
      <c r="AH20" s="23">
        <f t="shared" si="3"/>
        <v>0</v>
      </c>
      <c r="AI20" s="23">
        <f>SUM(AI6:AI19)</f>
        <v>0</v>
      </c>
      <c r="AJ20" s="23">
        <f>SUM(AJ6:AJ19)</f>
        <v>0</v>
      </c>
      <c r="AK20" s="100">
        <f>SUM(AK6:AK19)</f>
        <v>0</v>
      </c>
      <c r="AL20" s="101">
        <f>SUM(AL6:AL19)</f>
        <v>0</v>
      </c>
      <c r="AM20" s="101">
        <f t="shared" ref="AM20:AU20" si="4">SUM(AM6:AM19)</f>
        <v>0</v>
      </c>
      <c r="AN20" s="101">
        <f t="shared" si="4"/>
        <v>0</v>
      </c>
      <c r="AO20" s="101">
        <f t="shared" si="4"/>
        <v>0</v>
      </c>
      <c r="AP20" s="101">
        <f t="shared" si="4"/>
        <v>0</v>
      </c>
      <c r="AQ20" s="101">
        <f t="shared" si="4"/>
        <v>0</v>
      </c>
      <c r="AR20" s="101">
        <f t="shared" si="4"/>
        <v>0</v>
      </c>
      <c r="AS20" s="101">
        <f t="shared" si="4"/>
        <v>0</v>
      </c>
      <c r="AT20" s="101">
        <f t="shared" si="4"/>
        <v>0</v>
      </c>
      <c r="AU20" s="102">
        <f t="shared" si="4"/>
        <v>0</v>
      </c>
    </row>
    <row r="21" spans="2:47" s="38" customFormat="1" ht="20.100000000000001" customHeight="1" x14ac:dyDescent="0.2">
      <c r="B21" s="141"/>
      <c r="C21" s="142"/>
      <c r="D21" s="145"/>
      <c r="E21" s="147"/>
      <c r="F21" s="126"/>
      <c r="G21" s="126"/>
      <c r="H21" s="46">
        <f>$E6*H6+$E7*H7+$E8*H8+$E9*H9+$E10*H10+$E11*H11+$E12*H12+$E14*H14+$E15*H15+$E16*H16+$E17*H17+$E18*H18+$E19*H19+$E13*H13</f>
        <v>12500</v>
      </c>
      <c r="I21" s="28">
        <f t="shared" ref="I21:AK21" si="5">$E6*I6+$E7*I7+$E8*I8+$E9*I9+$E10*I10+$E11*I11+$E12*I12+$E14*I14+$E15*I15+$E16*I16+$E17*I17+$E18*I18+$E19*I19+$E13*I13</f>
        <v>4000</v>
      </c>
      <c r="J21" s="28">
        <f t="shared" si="5"/>
        <v>4000</v>
      </c>
      <c r="K21" s="28">
        <f t="shared" si="5"/>
        <v>6000</v>
      </c>
      <c r="L21" s="28">
        <f t="shared" si="5"/>
        <v>12500</v>
      </c>
      <c r="M21" s="28">
        <f t="shared" si="5"/>
        <v>10000</v>
      </c>
      <c r="N21" s="28">
        <f t="shared" si="5"/>
        <v>12500</v>
      </c>
      <c r="O21" s="28">
        <f t="shared" si="5"/>
        <v>7000</v>
      </c>
      <c r="P21" s="28">
        <f t="shared" si="5"/>
        <v>12500</v>
      </c>
      <c r="Q21" s="28">
        <f t="shared" si="5"/>
        <v>5500</v>
      </c>
      <c r="R21" s="28">
        <f t="shared" si="5"/>
        <v>5500</v>
      </c>
      <c r="S21" s="28">
        <f t="shared" si="5"/>
        <v>5500</v>
      </c>
      <c r="T21" s="28">
        <f t="shared" si="5"/>
        <v>6000</v>
      </c>
      <c r="U21" s="28">
        <f t="shared" si="5"/>
        <v>5500</v>
      </c>
      <c r="V21" s="28">
        <f t="shared" si="5"/>
        <v>6500</v>
      </c>
      <c r="W21" s="28">
        <f t="shared" si="5"/>
        <v>11000</v>
      </c>
      <c r="X21" s="28">
        <f t="shared" si="5"/>
        <v>5500</v>
      </c>
      <c r="Y21" s="28">
        <f t="shared" si="5"/>
        <v>12500</v>
      </c>
      <c r="Z21" s="28">
        <f t="shared" si="5"/>
        <v>6500</v>
      </c>
      <c r="AA21" s="28">
        <f t="shared" si="5"/>
        <v>17000</v>
      </c>
      <c r="AB21" s="28">
        <f t="shared" si="5"/>
        <v>5000</v>
      </c>
      <c r="AC21" s="28">
        <f t="shared" si="5"/>
        <v>4000</v>
      </c>
      <c r="AD21" s="28">
        <f t="shared" si="5"/>
        <v>6500</v>
      </c>
      <c r="AE21" s="28">
        <f t="shared" si="5"/>
        <v>6500</v>
      </c>
      <c r="AF21" s="28">
        <f t="shared" si="5"/>
        <v>14000</v>
      </c>
      <c r="AG21" s="28">
        <f t="shared" si="5"/>
        <v>0</v>
      </c>
      <c r="AH21" s="28">
        <f t="shared" si="5"/>
        <v>0</v>
      </c>
      <c r="AI21" s="28">
        <f t="shared" si="5"/>
        <v>0</v>
      </c>
      <c r="AJ21" s="28">
        <f t="shared" si="5"/>
        <v>0</v>
      </c>
      <c r="AK21" s="74">
        <f t="shared" si="5"/>
        <v>0</v>
      </c>
      <c r="AL21" s="28">
        <f>$E6*AL6+$E7*AL7+$E8*AL8+$E9*AL9+$E10*AL10+$E11*AL11+$E12*AL12+$E14*AL14+$E15*AL15+$E16*AL16+$E17*AL17+$E18*AL18+$E19*AL19+$E13*AL13</f>
        <v>0</v>
      </c>
      <c r="AM21" s="28">
        <f>$E6*AM6+$E7*AM7+$E8*AM8+$E9*AM9+$E10*AM10+$E11*AM11+$E12*AM12+$E14*AM14+$E15*AM15+$E16*AM16+$E17*AM17+$E18*AM18+$E19*AM19+$E13*AM13</f>
        <v>0</v>
      </c>
      <c r="AN21" s="28">
        <f>$E6*AN6+$E7*AN7+$E8*AN8+$E9*AN9+$E10*AN10+$E11*AN11+$E12*AN12+$E14*AN14+$E15*AN15+$E16*AN16+$E17*AN17+$E18*AN18+$E19*AN19+$E13*AN13</f>
        <v>0</v>
      </c>
      <c r="AO21" s="28">
        <f t="shared" ref="AO21:AU21" si="6">$E6*AO6+$E7*AO7+$E8*AO8+$E9*AO9+$E10*AO10+$E11*AO11+$E12*AO12+$E14*AO14+$E15*AO15+$E16*AO16+$E17*AO17+$E18*AO18+$E19*AO19+$E13*AO13</f>
        <v>0</v>
      </c>
      <c r="AP21" s="28">
        <f t="shared" si="6"/>
        <v>0</v>
      </c>
      <c r="AQ21" s="28">
        <f t="shared" si="6"/>
        <v>0</v>
      </c>
      <c r="AR21" s="28">
        <f t="shared" si="6"/>
        <v>0</v>
      </c>
      <c r="AS21" s="28">
        <f t="shared" si="6"/>
        <v>0</v>
      </c>
      <c r="AT21" s="28">
        <f>$E6*AT6+$E7*AT7+$E8*AT8+$E9*AT9+$E10*AT10+$E11*AT11+$E12*AT12+$E14*AT14+$E15*AT15+$E16*AT16+$E17*AT17+$E18*AT18+$E19*AT19+$E13*AT13</f>
        <v>0</v>
      </c>
      <c r="AU21" s="29">
        <f t="shared" si="6"/>
        <v>0</v>
      </c>
    </row>
  </sheetData>
  <sheetProtection password="CC67" sheet="1" objects="1" scenarios="1"/>
  <mergeCells count="10">
    <mergeCell ref="B20:D21"/>
    <mergeCell ref="E20:E21"/>
    <mergeCell ref="F20:F21"/>
    <mergeCell ref="G20:G21"/>
    <mergeCell ref="B2:G2"/>
    <mergeCell ref="B4:B5"/>
    <mergeCell ref="C4:C5"/>
    <mergeCell ref="D4:D5"/>
    <mergeCell ref="E4:E5"/>
    <mergeCell ref="F4:F5"/>
  </mergeCells>
  <phoneticPr fontId="2" type="noConversion"/>
  <pageMargins left="0.7" right="0.7" top="0.75" bottom="0.75" header="0.3" footer="0.3"/>
  <pageSetup paperSize="9" scale="31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B1:AU21"/>
  <sheetViews>
    <sheetView showGridLines="0" zoomScale="85" zoomScaleNormal="85" workbookViewId="0">
      <pane xSplit="7" ySplit="5" topLeftCell="H6" activePane="bottomRight" state="frozen"/>
      <selection pane="topRight" activeCell="G1" sqref="G1"/>
      <selection pane="bottomLeft" activeCell="A6" sqref="A6"/>
      <selection pane="bottomRight" activeCell="C6" sqref="C6:D15"/>
    </sheetView>
  </sheetViews>
  <sheetFormatPr defaultColWidth="9.125" defaultRowHeight="14.25" x14ac:dyDescent="0.2"/>
  <cols>
    <col min="1" max="1" width="0.375" style="1" customWidth="1"/>
    <col min="2" max="2" width="16.875" style="1" bestFit="1" customWidth="1"/>
    <col min="3" max="4" width="13.625" style="1" customWidth="1"/>
    <col min="5" max="5" width="10.625" style="1" hidden="1" customWidth="1"/>
    <col min="6" max="6" width="10.625" style="1" customWidth="1"/>
    <col min="7" max="7" width="10.625" style="3" customWidth="1"/>
    <col min="8" max="22" width="10.625" style="4" customWidth="1"/>
    <col min="23" max="47" width="10.625" style="1" customWidth="1"/>
    <col min="48" max="16384" width="9.125" style="1"/>
  </cols>
  <sheetData>
    <row r="1" spans="2:47" ht="3.75" customHeight="1" x14ac:dyDescent="0.2"/>
    <row r="2" spans="2:47" ht="20.25" x14ac:dyDescent="0.2">
      <c r="B2" s="149" t="s">
        <v>26</v>
      </c>
      <c r="C2" s="149"/>
      <c r="D2" s="149"/>
      <c r="E2" s="149"/>
      <c r="F2" s="149"/>
      <c r="G2" s="149"/>
    </row>
    <row r="3" spans="2:47" ht="4.9000000000000004" customHeight="1" x14ac:dyDescent="0.2"/>
    <row r="4" spans="2:47" s="38" customFormat="1" ht="20.100000000000001" customHeight="1" x14ac:dyDescent="0.2">
      <c r="B4" s="150" t="s">
        <v>3</v>
      </c>
      <c r="C4" s="123" t="s">
        <v>45</v>
      </c>
      <c r="D4" s="153" t="s">
        <v>46</v>
      </c>
      <c r="E4" s="135" t="s">
        <v>4</v>
      </c>
      <c r="F4" s="129" t="s">
        <v>5</v>
      </c>
      <c r="G4" s="32" t="s">
        <v>0</v>
      </c>
      <c r="H4" s="33">
        <v>1</v>
      </c>
      <c r="I4" s="34">
        <v>2</v>
      </c>
      <c r="J4" s="34">
        <v>3</v>
      </c>
      <c r="K4" s="34">
        <v>4</v>
      </c>
      <c r="L4" s="34">
        <v>5</v>
      </c>
      <c r="M4" s="34">
        <v>6</v>
      </c>
      <c r="N4" s="34">
        <v>7</v>
      </c>
      <c r="O4" s="34">
        <v>8</v>
      </c>
      <c r="P4" s="34">
        <v>9</v>
      </c>
      <c r="Q4" s="34">
        <v>10</v>
      </c>
      <c r="R4" s="34">
        <v>11</v>
      </c>
      <c r="S4" s="34">
        <v>12</v>
      </c>
      <c r="T4" s="34">
        <v>13</v>
      </c>
      <c r="U4" s="34">
        <v>14</v>
      </c>
      <c r="V4" s="34">
        <v>15</v>
      </c>
      <c r="W4" s="34">
        <v>16</v>
      </c>
      <c r="X4" s="34">
        <v>17</v>
      </c>
      <c r="Y4" s="33">
        <v>18</v>
      </c>
      <c r="Z4" s="34">
        <v>19</v>
      </c>
      <c r="AA4" s="34">
        <v>20</v>
      </c>
      <c r="AB4" s="34">
        <v>21</v>
      </c>
      <c r="AC4" s="34">
        <v>22</v>
      </c>
      <c r="AD4" s="34">
        <v>23</v>
      </c>
      <c r="AE4" s="34">
        <v>24</v>
      </c>
      <c r="AF4" s="34">
        <v>25</v>
      </c>
      <c r="AG4" s="34">
        <v>26</v>
      </c>
      <c r="AH4" s="34">
        <v>27</v>
      </c>
      <c r="AI4" s="34">
        <v>28</v>
      </c>
      <c r="AJ4" s="34">
        <v>29</v>
      </c>
      <c r="AK4" s="96">
        <v>30</v>
      </c>
      <c r="AL4" s="34">
        <v>31</v>
      </c>
      <c r="AM4" s="34">
        <v>32</v>
      </c>
      <c r="AN4" s="34">
        <v>33</v>
      </c>
      <c r="AO4" s="34">
        <v>34</v>
      </c>
      <c r="AP4" s="34">
        <v>35</v>
      </c>
      <c r="AQ4" s="34">
        <v>36</v>
      </c>
      <c r="AR4" s="34">
        <v>37</v>
      </c>
      <c r="AS4" s="34">
        <v>38</v>
      </c>
      <c r="AT4" s="34">
        <v>39</v>
      </c>
      <c r="AU4" s="35">
        <v>40</v>
      </c>
    </row>
    <row r="5" spans="2:47" s="38" customFormat="1" ht="20.100000000000001" customHeight="1" x14ac:dyDescent="0.2">
      <c r="B5" s="151"/>
      <c r="C5" s="152"/>
      <c r="D5" s="154"/>
      <c r="E5" s="136"/>
      <c r="F5" s="130"/>
      <c r="G5" s="36" t="s">
        <v>1</v>
      </c>
      <c r="H5" s="37">
        <v>1530</v>
      </c>
      <c r="I5" s="37">
        <v>1624</v>
      </c>
      <c r="J5" s="37">
        <v>1121</v>
      </c>
      <c r="K5" s="37">
        <v>1402</v>
      </c>
      <c r="L5" s="37">
        <v>1106</v>
      </c>
      <c r="M5" s="37">
        <v>1214</v>
      </c>
      <c r="N5" s="37">
        <v>1230</v>
      </c>
      <c r="O5" s="37">
        <v>1601</v>
      </c>
      <c r="P5" s="37">
        <v>1019</v>
      </c>
      <c r="Q5" s="37">
        <v>730</v>
      </c>
      <c r="R5" s="37">
        <v>1022</v>
      </c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94"/>
      <c r="AL5" s="7"/>
      <c r="AM5" s="7"/>
      <c r="AN5" s="7"/>
      <c r="AO5" s="7"/>
      <c r="AP5" s="7"/>
      <c r="AQ5" s="7"/>
      <c r="AR5" s="7"/>
      <c r="AS5" s="7"/>
      <c r="AT5" s="7"/>
      <c r="AU5" s="9"/>
    </row>
    <row r="6" spans="2:47" s="38" customFormat="1" ht="30" customHeight="1" x14ac:dyDescent="0.2">
      <c r="B6" s="77" t="s">
        <v>12</v>
      </c>
      <c r="C6" s="62" t="s">
        <v>67</v>
      </c>
      <c r="D6" s="35"/>
      <c r="E6" s="39">
        <v>6000</v>
      </c>
      <c r="F6" s="12">
        <f>E6*G6</f>
        <v>12000</v>
      </c>
      <c r="G6" s="95">
        <f t="shared" ref="G6:G19" si="0">SUM(H6:AU6)</f>
        <v>2</v>
      </c>
      <c r="H6" s="40"/>
      <c r="I6" s="40">
        <v>1</v>
      </c>
      <c r="J6" s="40"/>
      <c r="K6" s="40"/>
      <c r="L6" s="40"/>
      <c r="M6" s="40"/>
      <c r="N6" s="40"/>
      <c r="O6" s="40">
        <v>1</v>
      </c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97"/>
      <c r="AL6" s="40"/>
      <c r="AM6" s="40"/>
      <c r="AN6" s="40"/>
      <c r="AO6" s="40"/>
      <c r="AP6" s="40"/>
      <c r="AQ6" s="40"/>
      <c r="AR6" s="40"/>
      <c r="AS6" s="40"/>
      <c r="AT6" s="40"/>
      <c r="AU6" s="41"/>
    </row>
    <row r="7" spans="2:47" s="38" customFormat="1" ht="30" customHeight="1" x14ac:dyDescent="0.2">
      <c r="B7" s="78" t="s">
        <v>13</v>
      </c>
      <c r="C7" s="63" t="s">
        <v>67</v>
      </c>
      <c r="D7" s="64"/>
      <c r="E7" s="42">
        <v>6500</v>
      </c>
      <c r="F7" s="18">
        <f t="shared" ref="F7:F19" si="1">E7*G7</f>
        <v>19500</v>
      </c>
      <c r="G7" s="95">
        <f t="shared" si="0"/>
        <v>3</v>
      </c>
      <c r="H7" s="43">
        <v>1</v>
      </c>
      <c r="I7" s="43"/>
      <c r="J7" s="43"/>
      <c r="K7" s="43">
        <v>1</v>
      </c>
      <c r="L7" s="43"/>
      <c r="M7" s="43"/>
      <c r="N7" s="43"/>
      <c r="O7" s="43"/>
      <c r="P7" s="43">
        <v>1</v>
      </c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98"/>
      <c r="AL7" s="43"/>
      <c r="AM7" s="43"/>
      <c r="AN7" s="43"/>
      <c r="AO7" s="43"/>
      <c r="AP7" s="43"/>
      <c r="AQ7" s="43"/>
      <c r="AR7" s="43"/>
      <c r="AS7" s="43"/>
      <c r="AT7" s="43"/>
      <c r="AU7" s="44"/>
    </row>
    <row r="8" spans="2:47" s="38" customFormat="1" ht="30" customHeight="1" x14ac:dyDescent="0.2">
      <c r="B8" s="78" t="s">
        <v>14</v>
      </c>
      <c r="C8" s="63" t="s">
        <v>76</v>
      </c>
      <c r="D8" s="64"/>
      <c r="E8" s="42">
        <v>7000</v>
      </c>
      <c r="F8" s="18">
        <f t="shared" si="1"/>
        <v>0</v>
      </c>
      <c r="G8" s="95">
        <f t="shared" si="0"/>
        <v>0</v>
      </c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98"/>
      <c r="AL8" s="43"/>
      <c r="AM8" s="43"/>
      <c r="AN8" s="43"/>
      <c r="AO8" s="43"/>
      <c r="AP8" s="43"/>
      <c r="AQ8" s="43"/>
      <c r="AR8" s="43"/>
      <c r="AS8" s="43"/>
      <c r="AT8" s="43"/>
      <c r="AU8" s="44"/>
    </row>
    <row r="9" spans="2:47" s="38" customFormat="1" ht="30" customHeight="1" x14ac:dyDescent="0.2">
      <c r="B9" s="78" t="s">
        <v>15</v>
      </c>
      <c r="C9" s="63" t="s">
        <v>57</v>
      </c>
      <c r="D9" s="64"/>
      <c r="E9" s="42">
        <v>5500</v>
      </c>
      <c r="F9" s="18">
        <f t="shared" si="1"/>
        <v>49500</v>
      </c>
      <c r="G9" s="95">
        <f t="shared" si="0"/>
        <v>9</v>
      </c>
      <c r="H9" s="43">
        <v>1</v>
      </c>
      <c r="I9" s="43">
        <v>2</v>
      </c>
      <c r="J9" s="43"/>
      <c r="K9" s="43"/>
      <c r="L9" s="43">
        <v>1</v>
      </c>
      <c r="M9" s="43">
        <v>2</v>
      </c>
      <c r="N9" s="43">
        <v>2</v>
      </c>
      <c r="O9" s="43"/>
      <c r="P9" s="43"/>
      <c r="Q9" s="43">
        <v>1</v>
      </c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98"/>
      <c r="AL9" s="43"/>
      <c r="AM9" s="43"/>
      <c r="AN9" s="43"/>
      <c r="AO9" s="43"/>
      <c r="AP9" s="43"/>
      <c r="AQ9" s="43"/>
      <c r="AR9" s="43"/>
      <c r="AS9" s="43"/>
      <c r="AT9" s="43"/>
      <c r="AU9" s="44"/>
    </row>
    <row r="10" spans="2:47" s="38" customFormat="1" ht="30" customHeight="1" x14ac:dyDescent="0.2">
      <c r="B10" s="78" t="s">
        <v>16</v>
      </c>
      <c r="C10" s="63" t="s">
        <v>60</v>
      </c>
      <c r="D10" s="64"/>
      <c r="E10" s="42">
        <v>4000</v>
      </c>
      <c r="F10" s="18">
        <f t="shared" si="1"/>
        <v>4000</v>
      </c>
      <c r="G10" s="95">
        <f t="shared" si="0"/>
        <v>1</v>
      </c>
      <c r="H10" s="43"/>
      <c r="I10" s="43"/>
      <c r="J10" s="43"/>
      <c r="K10" s="43"/>
      <c r="L10" s="43"/>
      <c r="M10" s="43">
        <v>1</v>
      </c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98"/>
      <c r="AL10" s="43"/>
      <c r="AM10" s="43"/>
      <c r="AN10" s="43"/>
      <c r="AO10" s="43"/>
      <c r="AP10" s="43"/>
      <c r="AQ10" s="43"/>
      <c r="AR10" s="43"/>
      <c r="AS10" s="43"/>
      <c r="AT10" s="43"/>
      <c r="AU10" s="44"/>
    </row>
    <row r="11" spans="2:47" s="38" customFormat="1" ht="30" customHeight="1" x14ac:dyDescent="0.2">
      <c r="B11" s="78" t="s">
        <v>17</v>
      </c>
      <c r="C11" s="63" t="s">
        <v>72</v>
      </c>
      <c r="D11" s="64"/>
      <c r="E11" s="42">
        <v>4000</v>
      </c>
      <c r="F11" s="18">
        <f t="shared" si="1"/>
        <v>12000</v>
      </c>
      <c r="G11" s="95">
        <f t="shared" si="0"/>
        <v>3</v>
      </c>
      <c r="H11" s="43"/>
      <c r="I11" s="43"/>
      <c r="J11" s="43"/>
      <c r="K11" s="43"/>
      <c r="L11" s="43"/>
      <c r="M11" s="43">
        <v>1</v>
      </c>
      <c r="N11" s="43"/>
      <c r="O11" s="43"/>
      <c r="P11" s="43">
        <v>1</v>
      </c>
      <c r="Q11" s="43"/>
      <c r="R11" s="43">
        <v>1</v>
      </c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98"/>
      <c r="AL11" s="43"/>
      <c r="AM11" s="43"/>
      <c r="AN11" s="43"/>
      <c r="AO11" s="43"/>
      <c r="AP11" s="43"/>
      <c r="AQ11" s="43"/>
      <c r="AR11" s="43"/>
      <c r="AS11" s="43"/>
      <c r="AT11" s="43"/>
      <c r="AU11" s="44"/>
    </row>
    <row r="12" spans="2:47" s="38" customFormat="1" ht="30" customHeight="1" x14ac:dyDescent="0.2">
      <c r="B12" s="78" t="s">
        <v>18</v>
      </c>
      <c r="C12" s="63" t="s">
        <v>73</v>
      </c>
      <c r="D12" s="64"/>
      <c r="E12" s="42">
        <v>4000</v>
      </c>
      <c r="F12" s="18">
        <f t="shared" si="1"/>
        <v>8000</v>
      </c>
      <c r="G12" s="95">
        <f t="shared" si="0"/>
        <v>2</v>
      </c>
      <c r="H12" s="43"/>
      <c r="I12" s="43"/>
      <c r="J12" s="43">
        <v>1</v>
      </c>
      <c r="K12" s="43"/>
      <c r="L12" s="43"/>
      <c r="M12" s="43">
        <v>1</v>
      </c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98"/>
      <c r="AL12" s="43"/>
      <c r="AM12" s="43"/>
      <c r="AN12" s="43"/>
      <c r="AO12" s="43"/>
      <c r="AP12" s="43"/>
      <c r="AQ12" s="43"/>
      <c r="AR12" s="43"/>
      <c r="AS12" s="43"/>
      <c r="AT12" s="43"/>
      <c r="AU12" s="44"/>
    </row>
    <row r="13" spans="2:47" s="38" customFormat="1" ht="30" customHeight="1" x14ac:dyDescent="0.2">
      <c r="B13" s="78" t="s">
        <v>19</v>
      </c>
      <c r="C13" s="63" t="s">
        <v>59</v>
      </c>
      <c r="D13" s="64"/>
      <c r="E13" s="42">
        <v>5000</v>
      </c>
      <c r="F13" s="18">
        <f t="shared" si="1"/>
        <v>0</v>
      </c>
      <c r="G13" s="95">
        <f t="shared" si="0"/>
        <v>0</v>
      </c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99"/>
      <c r="AL13" s="43"/>
      <c r="AM13" s="43"/>
      <c r="AN13" s="43"/>
      <c r="AO13" s="43"/>
      <c r="AP13" s="43"/>
      <c r="AQ13" s="43"/>
      <c r="AR13" s="43"/>
      <c r="AS13" s="43"/>
      <c r="AT13" s="43"/>
      <c r="AU13" s="44"/>
    </row>
    <row r="14" spans="2:47" s="38" customFormat="1" ht="30" customHeight="1" x14ac:dyDescent="0.2">
      <c r="B14" s="78" t="s">
        <v>20</v>
      </c>
      <c r="C14" s="63" t="s">
        <v>66</v>
      </c>
      <c r="D14" s="64"/>
      <c r="E14" s="42">
        <v>7000</v>
      </c>
      <c r="F14" s="18">
        <f t="shared" si="1"/>
        <v>0</v>
      </c>
      <c r="G14" s="95">
        <f t="shared" si="0"/>
        <v>0</v>
      </c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98"/>
      <c r="AL14" s="43"/>
      <c r="AM14" s="43"/>
      <c r="AN14" s="43"/>
      <c r="AO14" s="43"/>
      <c r="AP14" s="43"/>
      <c r="AQ14" s="43"/>
      <c r="AR14" s="43"/>
      <c r="AS14" s="43"/>
      <c r="AT14" s="43"/>
      <c r="AU14" s="44"/>
    </row>
    <row r="15" spans="2:47" s="38" customFormat="1" ht="30" customHeight="1" x14ac:dyDescent="0.2">
      <c r="B15" s="78" t="s">
        <v>21</v>
      </c>
      <c r="C15" s="63" t="s">
        <v>75</v>
      </c>
      <c r="D15" s="64"/>
      <c r="E15" s="42">
        <v>7000</v>
      </c>
      <c r="F15" s="18">
        <f t="shared" si="1"/>
        <v>0</v>
      </c>
      <c r="G15" s="95">
        <f t="shared" si="0"/>
        <v>0</v>
      </c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98"/>
      <c r="AL15" s="43"/>
      <c r="AM15" s="43"/>
      <c r="AN15" s="43"/>
      <c r="AO15" s="43"/>
      <c r="AP15" s="43"/>
      <c r="AQ15" s="43"/>
      <c r="AR15" s="43"/>
      <c r="AS15" s="43"/>
      <c r="AT15" s="43"/>
      <c r="AU15" s="44"/>
    </row>
    <row r="16" spans="2:47" s="38" customFormat="1" ht="30" customHeight="1" x14ac:dyDescent="0.2">
      <c r="B16" s="78" t="s">
        <v>22</v>
      </c>
      <c r="C16" s="63"/>
      <c r="D16" s="64"/>
      <c r="E16" s="42">
        <v>7000</v>
      </c>
      <c r="F16" s="18">
        <f t="shared" si="1"/>
        <v>0</v>
      </c>
      <c r="G16" s="95">
        <f t="shared" si="0"/>
        <v>0</v>
      </c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98"/>
      <c r="AL16" s="43"/>
      <c r="AM16" s="43"/>
      <c r="AN16" s="43"/>
      <c r="AO16" s="43"/>
      <c r="AP16" s="43"/>
      <c r="AQ16" s="43"/>
      <c r="AR16" s="43"/>
      <c r="AS16" s="43"/>
      <c r="AT16" s="43"/>
      <c r="AU16" s="44"/>
    </row>
    <row r="17" spans="2:47" s="38" customFormat="1" ht="30" customHeight="1" x14ac:dyDescent="0.2">
      <c r="B17" s="78" t="s">
        <v>23</v>
      </c>
      <c r="C17" s="63"/>
      <c r="D17" s="64"/>
      <c r="E17" s="42">
        <v>7000</v>
      </c>
      <c r="F17" s="18">
        <f t="shared" si="1"/>
        <v>0</v>
      </c>
      <c r="G17" s="95">
        <f t="shared" si="0"/>
        <v>0</v>
      </c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98"/>
      <c r="AL17" s="43"/>
      <c r="AM17" s="43"/>
      <c r="AN17" s="43"/>
      <c r="AO17" s="43"/>
      <c r="AP17" s="43"/>
      <c r="AQ17" s="43"/>
      <c r="AR17" s="43"/>
      <c r="AS17" s="43"/>
      <c r="AT17" s="43"/>
      <c r="AU17" s="44"/>
    </row>
    <row r="18" spans="2:47" s="38" customFormat="1" ht="30" customHeight="1" x14ac:dyDescent="0.2">
      <c r="B18" s="78" t="s">
        <v>24</v>
      </c>
      <c r="C18" s="63"/>
      <c r="D18" s="64"/>
      <c r="E18" s="42">
        <v>7000</v>
      </c>
      <c r="F18" s="18">
        <f t="shared" si="1"/>
        <v>0</v>
      </c>
      <c r="G18" s="95">
        <f t="shared" si="0"/>
        <v>0</v>
      </c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99"/>
      <c r="AL18" s="43"/>
      <c r="AM18" s="43"/>
      <c r="AN18" s="43"/>
      <c r="AO18" s="43"/>
      <c r="AP18" s="43"/>
      <c r="AQ18" s="43"/>
      <c r="AR18" s="43"/>
      <c r="AS18" s="43"/>
      <c r="AT18" s="43"/>
      <c r="AU18" s="44"/>
    </row>
    <row r="19" spans="2:47" s="38" customFormat="1" ht="30" customHeight="1" x14ac:dyDescent="0.2">
      <c r="B19" s="79" t="s">
        <v>25</v>
      </c>
      <c r="C19" s="65"/>
      <c r="D19" s="9"/>
      <c r="E19" s="61">
        <v>7000</v>
      </c>
      <c r="F19" s="50">
        <f t="shared" si="1"/>
        <v>0</v>
      </c>
      <c r="G19" s="95">
        <f t="shared" si="0"/>
        <v>0</v>
      </c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98"/>
      <c r="AL19" s="45"/>
      <c r="AM19" s="45"/>
      <c r="AN19" s="45"/>
      <c r="AO19" s="45"/>
      <c r="AP19" s="45"/>
      <c r="AQ19" s="45"/>
      <c r="AR19" s="45"/>
      <c r="AS19" s="45"/>
      <c r="AT19" s="45"/>
      <c r="AU19" s="60"/>
    </row>
    <row r="20" spans="2:47" s="38" customFormat="1" ht="20.100000000000001" customHeight="1" x14ac:dyDescent="0.2">
      <c r="B20" s="139" t="s">
        <v>8</v>
      </c>
      <c r="C20" s="140"/>
      <c r="D20" s="144"/>
      <c r="E20" s="146">
        <f>SUM(E6:E8,E10:E15)+E9*2</f>
        <v>61500</v>
      </c>
      <c r="F20" s="125">
        <f t="shared" ref="F20:X20" si="2">SUM(F6:F19)</f>
        <v>105000</v>
      </c>
      <c r="G20" s="125">
        <f t="shared" si="2"/>
        <v>20</v>
      </c>
      <c r="H20" s="23">
        <f t="shared" si="2"/>
        <v>2</v>
      </c>
      <c r="I20" s="23">
        <f t="shared" si="2"/>
        <v>3</v>
      </c>
      <c r="J20" s="23">
        <f t="shared" si="2"/>
        <v>1</v>
      </c>
      <c r="K20" s="23">
        <f t="shared" si="2"/>
        <v>1</v>
      </c>
      <c r="L20" s="23">
        <f t="shared" si="2"/>
        <v>1</v>
      </c>
      <c r="M20" s="23">
        <f t="shared" si="2"/>
        <v>5</v>
      </c>
      <c r="N20" s="23">
        <f t="shared" si="2"/>
        <v>2</v>
      </c>
      <c r="O20" s="23">
        <f t="shared" si="2"/>
        <v>1</v>
      </c>
      <c r="P20" s="23">
        <f t="shared" si="2"/>
        <v>2</v>
      </c>
      <c r="Q20" s="23">
        <f t="shared" si="2"/>
        <v>1</v>
      </c>
      <c r="R20" s="23">
        <f t="shared" si="2"/>
        <v>1</v>
      </c>
      <c r="S20" s="23">
        <f t="shared" si="2"/>
        <v>0</v>
      </c>
      <c r="T20" s="23">
        <f t="shared" si="2"/>
        <v>0</v>
      </c>
      <c r="U20" s="23">
        <f t="shared" si="2"/>
        <v>0</v>
      </c>
      <c r="V20" s="23">
        <f t="shared" si="2"/>
        <v>0</v>
      </c>
      <c r="W20" s="23">
        <f t="shared" si="2"/>
        <v>0</v>
      </c>
      <c r="X20" s="23">
        <f t="shared" si="2"/>
        <v>0</v>
      </c>
      <c r="Y20" s="23">
        <f t="shared" ref="Y20:AH20" si="3">SUM(Y6:Y19)</f>
        <v>0</v>
      </c>
      <c r="Z20" s="23">
        <f t="shared" si="3"/>
        <v>0</v>
      </c>
      <c r="AA20" s="23">
        <f t="shared" si="3"/>
        <v>0</v>
      </c>
      <c r="AB20" s="23">
        <f t="shared" si="3"/>
        <v>0</v>
      </c>
      <c r="AC20" s="23">
        <f t="shared" si="3"/>
        <v>0</v>
      </c>
      <c r="AD20" s="23">
        <f t="shared" si="3"/>
        <v>0</v>
      </c>
      <c r="AE20" s="23">
        <f t="shared" si="3"/>
        <v>0</v>
      </c>
      <c r="AF20" s="23">
        <f t="shared" si="3"/>
        <v>0</v>
      </c>
      <c r="AG20" s="23">
        <f t="shared" si="3"/>
        <v>0</v>
      </c>
      <c r="AH20" s="23">
        <f t="shared" si="3"/>
        <v>0</v>
      </c>
      <c r="AI20" s="23">
        <f>SUM(AI6:AI19)</f>
        <v>0</v>
      </c>
      <c r="AJ20" s="23">
        <f>SUM(AJ6:AJ19)</f>
        <v>0</v>
      </c>
      <c r="AK20" s="100">
        <f>SUM(AK6:AK19)</f>
        <v>0</v>
      </c>
      <c r="AL20" s="101">
        <f>SUM(AL6:AL19)</f>
        <v>0</v>
      </c>
      <c r="AM20" s="101">
        <f t="shared" ref="AM20:AU20" si="4">SUM(AM6:AM19)</f>
        <v>0</v>
      </c>
      <c r="AN20" s="101">
        <f t="shared" si="4"/>
        <v>0</v>
      </c>
      <c r="AO20" s="101">
        <f t="shared" si="4"/>
        <v>0</v>
      </c>
      <c r="AP20" s="101">
        <f t="shared" si="4"/>
        <v>0</v>
      </c>
      <c r="AQ20" s="101">
        <f t="shared" si="4"/>
        <v>0</v>
      </c>
      <c r="AR20" s="101">
        <f t="shared" si="4"/>
        <v>0</v>
      </c>
      <c r="AS20" s="101">
        <f t="shared" si="4"/>
        <v>0</v>
      </c>
      <c r="AT20" s="101">
        <f t="shared" si="4"/>
        <v>0</v>
      </c>
      <c r="AU20" s="102">
        <f t="shared" si="4"/>
        <v>0</v>
      </c>
    </row>
    <row r="21" spans="2:47" s="38" customFormat="1" ht="20.100000000000001" customHeight="1" x14ac:dyDescent="0.2">
      <c r="B21" s="141"/>
      <c r="C21" s="142"/>
      <c r="D21" s="145"/>
      <c r="E21" s="147"/>
      <c r="F21" s="126"/>
      <c r="G21" s="126"/>
      <c r="H21" s="46">
        <f>$E6*H6+$E7*H7+$E8*H8+$E9*H9+$E10*H10+$E11*H11+$E12*H12+$E14*H14+$E15*H15+$E16*H16+$E17*H17+$E18*H18+$E19*H19+$E13*H13</f>
        <v>12000</v>
      </c>
      <c r="I21" s="28">
        <f t="shared" ref="I21:AK21" si="5">$E6*I6+$E7*I7+$E8*I8+$E9*I9+$E10*I10+$E11*I11+$E12*I12+$E14*I14+$E15*I15+$E16*I16+$E17*I17+$E18*I18+$E19*I19+$E13*I13</f>
        <v>17000</v>
      </c>
      <c r="J21" s="28">
        <f t="shared" si="5"/>
        <v>4000</v>
      </c>
      <c r="K21" s="28">
        <f t="shared" si="5"/>
        <v>6500</v>
      </c>
      <c r="L21" s="28">
        <f t="shared" si="5"/>
        <v>5500</v>
      </c>
      <c r="M21" s="28">
        <f t="shared" si="5"/>
        <v>23000</v>
      </c>
      <c r="N21" s="28">
        <f t="shared" si="5"/>
        <v>11000</v>
      </c>
      <c r="O21" s="28">
        <f t="shared" si="5"/>
        <v>6000</v>
      </c>
      <c r="P21" s="28">
        <f t="shared" si="5"/>
        <v>10500</v>
      </c>
      <c r="Q21" s="28">
        <f t="shared" si="5"/>
        <v>5500</v>
      </c>
      <c r="R21" s="28">
        <f t="shared" si="5"/>
        <v>4000</v>
      </c>
      <c r="S21" s="28">
        <f t="shared" si="5"/>
        <v>0</v>
      </c>
      <c r="T21" s="28">
        <f t="shared" si="5"/>
        <v>0</v>
      </c>
      <c r="U21" s="28">
        <f t="shared" si="5"/>
        <v>0</v>
      </c>
      <c r="V21" s="28">
        <f t="shared" si="5"/>
        <v>0</v>
      </c>
      <c r="W21" s="28">
        <f t="shared" si="5"/>
        <v>0</v>
      </c>
      <c r="X21" s="28">
        <f t="shared" si="5"/>
        <v>0</v>
      </c>
      <c r="Y21" s="28">
        <f t="shared" si="5"/>
        <v>0</v>
      </c>
      <c r="Z21" s="28">
        <f t="shared" si="5"/>
        <v>0</v>
      </c>
      <c r="AA21" s="28">
        <f t="shared" si="5"/>
        <v>0</v>
      </c>
      <c r="AB21" s="28">
        <f t="shared" si="5"/>
        <v>0</v>
      </c>
      <c r="AC21" s="28">
        <f t="shared" si="5"/>
        <v>0</v>
      </c>
      <c r="AD21" s="28">
        <f t="shared" si="5"/>
        <v>0</v>
      </c>
      <c r="AE21" s="28">
        <f t="shared" si="5"/>
        <v>0</v>
      </c>
      <c r="AF21" s="28">
        <f t="shared" si="5"/>
        <v>0</v>
      </c>
      <c r="AG21" s="28">
        <f t="shared" si="5"/>
        <v>0</v>
      </c>
      <c r="AH21" s="28">
        <f t="shared" si="5"/>
        <v>0</v>
      </c>
      <c r="AI21" s="28">
        <f t="shared" si="5"/>
        <v>0</v>
      </c>
      <c r="AJ21" s="28">
        <f t="shared" si="5"/>
        <v>0</v>
      </c>
      <c r="AK21" s="74">
        <f t="shared" si="5"/>
        <v>0</v>
      </c>
      <c r="AL21" s="28">
        <f>$E6*AL6+$E7*AL7+$E8*AL8+$E9*AL9+$E10*AL10+$E11*AL11+$E12*AL12+$E14*AL14+$E15*AL15+$E16*AL16+$E17*AL17+$E18*AL18+$E19*AL19+$E13*AL13</f>
        <v>0</v>
      </c>
      <c r="AM21" s="28">
        <f>$E6*AM6+$E7*AM7+$E8*AM8+$E9*AM9+$E10*AM10+$E11*AM11+$E12*AM12+$E14*AM14+$E15*AM15+$E16*AM16+$E17*AM17+$E18*AM18+$E19*AM19+$E13*AM13</f>
        <v>0</v>
      </c>
      <c r="AN21" s="28">
        <f>$E6*AN6+$E7*AN7+$E8*AN8+$E9*AN9+$E10*AN10+$E11*AN11+$E12*AN12+$E14*AN14+$E15*AN15+$E16*AN16+$E17*AN17+$E18*AN18+$E19*AN19+$E13*AN13</f>
        <v>0</v>
      </c>
      <c r="AO21" s="28">
        <f t="shared" ref="AO21:AU21" si="6">$E6*AO6+$E7*AO7+$E8*AO8+$E9*AO9+$E10*AO10+$E11*AO11+$E12*AO12+$E14*AO14+$E15*AO15+$E16*AO16+$E17*AO17+$E18*AO18+$E19*AO19+$E13*AO13</f>
        <v>0</v>
      </c>
      <c r="AP21" s="28">
        <f t="shared" si="6"/>
        <v>0</v>
      </c>
      <c r="AQ21" s="28">
        <f t="shared" si="6"/>
        <v>0</v>
      </c>
      <c r="AR21" s="28">
        <f>$E6*AR6+$E7*AR7+$E8*AR8+$E9*AR9+$E10*AR10+$E11*AR11+$E12*AR12+$E14*AR14+$E15*AR15+$E16*AR16+$E17*AR17+$E18*AR18+$E19*AR19+$E13*AR13</f>
        <v>0</v>
      </c>
      <c r="AS21" s="28">
        <f t="shared" si="6"/>
        <v>0</v>
      </c>
      <c r="AT21" s="28">
        <f t="shared" si="6"/>
        <v>0</v>
      </c>
      <c r="AU21" s="29">
        <f t="shared" si="6"/>
        <v>0</v>
      </c>
    </row>
  </sheetData>
  <sheetProtection password="CC67" sheet="1" objects="1" scenarios="1"/>
  <mergeCells count="10">
    <mergeCell ref="B20:D21"/>
    <mergeCell ref="E20:E21"/>
    <mergeCell ref="F20:F21"/>
    <mergeCell ref="G20:G21"/>
    <mergeCell ref="B2:G2"/>
    <mergeCell ref="B4:B5"/>
    <mergeCell ref="C4:C5"/>
    <mergeCell ref="D4:D5"/>
    <mergeCell ref="E4:E5"/>
    <mergeCell ref="F4:F5"/>
  </mergeCells>
  <phoneticPr fontId="2" type="noConversion"/>
  <pageMargins left="0.7" right="0.7" top="0.75" bottom="0.75" header="0.3" footer="0.3"/>
  <pageSetup paperSize="9" scale="31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B1:AU21"/>
  <sheetViews>
    <sheetView showGridLines="0" tabSelected="1" zoomScale="85" zoomScaleNormal="85" workbookViewId="0">
      <pane xSplit="7" ySplit="5" topLeftCell="K6" activePane="bottomRight" state="frozen"/>
      <selection pane="topRight" activeCell="G1" sqref="G1"/>
      <selection pane="bottomLeft" activeCell="A6" sqref="A6"/>
      <selection pane="bottomRight" activeCell="AC5" sqref="AC5"/>
    </sheetView>
  </sheetViews>
  <sheetFormatPr defaultColWidth="9.125" defaultRowHeight="14.25" x14ac:dyDescent="0.2"/>
  <cols>
    <col min="1" max="1" width="0.375" style="1" customWidth="1"/>
    <col min="2" max="2" width="16.875" style="1" bestFit="1" customWidth="1"/>
    <col min="3" max="4" width="13.625" style="1" customWidth="1"/>
    <col min="5" max="5" width="10.625" style="1" hidden="1" customWidth="1"/>
    <col min="6" max="6" width="10.625" style="1" customWidth="1"/>
    <col min="7" max="7" width="10.625" style="3" customWidth="1"/>
    <col min="8" max="22" width="10.625" style="4" customWidth="1"/>
    <col min="23" max="47" width="10.625" style="1" customWidth="1"/>
    <col min="48" max="16384" width="9.125" style="1"/>
  </cols>
  <sheetData>
    <row r="1" spans="2:47" ht="3.75" customHeight="1" x14ac:dyDescent="0.2"/>
    <row r="2" spans="2:47" ht="20.25" x14ac:dyDescent="0.2">
      <c r="B2" s="149" t="s">
        <v>26</v>
      </c>
      <c r="C2" s="149"/>
      <c r="D2" s="149"/>
      <c r="E2" s="149"/>
      <c r="F2" s="149"/>
      <c r="G2" s="149"/>
    </row>
    <row r="3" spans="2:47" ht="4.9000000000000004" customHeight="1" x14ac:dyDescent="0.2"/>
    <row r="4" spans="2:47" s="38" customFormat="1" ht="20.100000000000001" customHeight="1" x14ac:dyDescent="0.2">
      <c r="B4" s="150" t="s">
        <v>3</v>
      </c>
      <c r="C4" s="123" t="s">
        <v>45</v>
      </c>
      <c r="D4" s="153" t="s">
        <v>46</v>
      </c>
      <c r="E4" s="135" t="s">
        <v>4</v>
      </c>
      <c r="F4" s="129" t="s">
        <v>5</v>
      </c>
      <c r="G4" s="32" t="s">
        <v>0</v>
      </c>
      <c r="H4" s="33">
        <v>1</v>
      </c>
      <c r="I4" s="34">
        <v>2</v>
      </c>
      <c r="J4" s="34">
        <v>3</v>
      </c>
      <c r="K4" s="34">
        <v>4</v>
      </c>
      <c r="L4" s="34">
        <v>5</v>
      </c>
      <c r="M4" s="34">
        <v>6</v>
      </c>
      <c r="N4" s="34">
        <v>7</v>
      </c>
      <c r="O4" s="34">
        <v>8</v>
      </c>
      <c r="P4" s="34">
        <v>9</v>
      </c>
      <c r="Q4" s="34">
        <v>10</v>
      </c>
      <c r="R4" s="34">
        <v>11</v>
      </c>
      <c r="S4" s="34">
        <v>12</v>
      </c>
      <c r="T4" s="34">
        <v>13</v>
      </c>
      <c r="U4" s="34">
        <v>14</v>
      </c>
      <c r="V4" s="34">
        <v>15</v>
      </c>
      <c r="W4" s="34">
        <v>16</v>
      </c>
      <c r="X4" s="34">
        <v>17</v>
      </c>
      <c r="Y4" s="33">
        <v>18</v>
      </c>
      <c r="Z4" s="34">
        <v>19</v>
      </c>
      <c r="AA4" s="34">
        <v>20</v>
      </c>
      <c r="AB4" s="34">
        <v>21</v>
      </c>
      <c r="AC4" s="34">
        <v>22</v>
      </c>
      <c r="AD4" s="34">
        <v>23</v>
      </c>
      <c r="AE4" s="34">
        <v>24</v>
      </c>
      <c r="AF4" s="34">
        <v>25</v>
      </c>
      <c r="AG4" s="34">
        <v>26</v>
      </c>
      <c r="AH4" s="34">
        <v>27</v>
      </c>
      <c r="AI4" s="34">
        <v>28</v>
      </c>
      <c r="AJ4" s="34">
        <v>29</v>
      </c>
      <c r="AK4" s="96">
        <v>30</v>
      </c>
      <c r="AL4" s="34">
        <v>31</v>
      </c>
      <c r="AM4" s="34">
        <v>32</v>
      </c>
      <c r="AN4" s="34">
        <v>33</v>
      </c>
      <c r="AO4" s="34">
        <v>34</v>
      </c>
      <c r="AP4" s="34">
        <v>35</v>
      </c>
      <c r="AQ4" s="34">
        <v>36</v>
      </c>
      <c r="AR4" s="34">
        <v>37</v>
      </c>
      <c r="AS4" s="34">
        <v>38</v>
      </c>
      <c r="AT4" s="34">
        <v>39</v>
      </c>
      <c r="AU4" s="35">
        <v>40</v>
      </c>
    </row>
    <row r="5" spans="2:47" s="38" customFormat="1" ht="20.100000000000001" customHeight="1" x14ac:dyDescent="0.2">
      <c r="B5" s="151"/>
      <c r="C5" s="152"/>
      <c r="D5" s="154"/>
      <c r="E5" s="136"/>
      <c r="F5" s="130"/>
      <c r="G5" s="36" t="s">
        <v>1</v>
      </c>
      <c r="H5" s="37">
        <v>1017</v>
      </c>
      <c r="I5" s="37">
        <v>601</v>
      </c>
      <c r="J5" s="37">
        <v>1020</v>
      </c>
      <c r="K5" s="37">
        <v>1802</v>
      </c>
      <c r="L5" s="37">
        <v>1222</v>
      </c>
      <c r="M5" s="37">
        <v>917</v>
      </c>
      <c r="N5" s="37">
        <v>1428</v>
      </c>
      <c r="O5" s="37">
        <v>817</v>
      </c>
      <c r="P5" s="37">
        <v>621</v>
      </c>
      <c r="Q5" s="37">
        <v>722</v>
      </c>
      <c r="R5" s="37">
        <v>1125</v>
      </c>
      <c r="S5" s="37">
        <v>1402</v>
      </c>
      <c r="T5" s="37">
        <v>1031</v>
      </c>
      <c r="U5" s="37">
        <v>1202</v>
      </c>
      <c r="V5" s="37">
        <v>1121</v>
      </c>
      <c r="W5" s="37">
        <v>1419</v>
      </c>
      <c r="X5" s="37">
        <v>514</v>
      </c>
      <c r="Y5" s="37">
        <v>528</v>
      </c>
      <c r="Z5" s="37">
        <v>1623</v>
      </c>
      <c r="AA5" s="37">
        <v>715</v>
      </c>
      <c r="AB5" s="37">
        <v>708</v>
      </c>
      <c r="AC5" s="37"/>
      <c r="AD5" s="37"/>
      <c r="AE5" s="37"/>
      <c r="AF5" s="37"/>
      <c r="AG5" s="37"/>
      <c r="AH5" s="37"/>
      <c r="AI5" s="37"/>
      <c r="AJ5" s="37"/>
      <c r="AK5" s="94"/>
      <c r="AL5" s="7"/>
      <c r="AM5" s="7"/>
      <c r="AN5" s="7"/>
      <c r="AO5" s="7"/>
      <c r="AP5" s="7"/>
      <c r="AQ5" s="7"/>
      <c r="AR5" s="7"/>
      <c r="AS5" s="7"/>
      <c r="AT5" s="7"/>
      <c r="AU5" s="9"/>
    </row>
    <row r="6" spans="2:47" s="38" customFormat="1" ht="30" customHeight="1" x14ac:dyDescent="0.2">
      <c r="B6" s="77" t="s">
        <v>12</v>
      </c>
      <c r="C6" s="62" t="s">
        <v>67</v>
      </c>
      <c r="D6" s="35"/>
      <c r="E6" s="39">
        <v>6000</v>
      </c>
      <c r="F6" s="12">
        <f>E6*G6</f>
        <v>18000</v>
      </c>
      <c r="G6" s="95">
        <f t="shared" ref="G6:G19" si="0">SUM(H6:AU6)</f>
        <v>3</v>
      </c>
      <c r="H6" s="40"/>
      <c r="I6" s="40"/>
      <c r="J6" s="40"/>
      <c r="K6" s="40"/>
      <c r="L6" s="40"/>
      <c r="M6" s="40"/>
      <c r="N6" s="40"/>
      <c r="O6" s="40"/>
      <c r="P6" s="40">
        <v>1</v>
      </c>
      <c r="Q6" s="40"/>
      <c r="R6" s="40"/>
      <c r="S6" s="40"/>
      <c r="T6" s="40"/>
      <c r="U6" s="40"/>
      <c r="V6" s="40"/>
      <c r="W6" s="40">
        <v>1</v>
      </c>
      <c r="X6" s="40"/>
      <c r="Y6" s="40"/>
      <c r="Z6" s="40"/>
      <c r="AA6" s="40">
        <v>1</v>
      </c>
      <c r="AB6" s="40"/>
      <c r="AC6" s="40"/>
      <c r="AD6" s="40"/>
      <c r="AE6" s="40"/>
      <c r="AF6" s="40"/>
      <c r="AG6" s="40"/>
      <c r="AH6" s="40"/>
      <c r="AI6" s="40"/>
      <c r="AJ6" s="40"/>
      <c r="AK6" s="97"/>
      <c r="AL6" s="40"/>
      <c r="AM6" s="40"/>
      <c r="AN6" s="40"/>
      <c r="AO6" s="40"/>
      <c r="AP6" s="40"/>
      <c r="AQ6" s="40"/>
      <c r="AR6" s="40"/>
      <c r="AS6" s="40"/>
      <c r="AT6" s="40"/>
      <c r="AU6" s="41"/>
    </row>
    <row r="7" spans="2:47" s="38" customFormat="1" ht="30" customHeight="1" x14ac:dyDescent="0.2">
      <c r="B7" s="78" t="s">
        <v>13</v>
      </c>
      <c r="C7" s="63" t="s">
        <v>67</v>
      </c>
      <c r="D7" s="64"/>
      <c r="E7" s="42">
        <v>6500</v>
      </c>
      <c r="F7" s="18">
        <f>E7*G7</f>
        <v>39000</v>
      </c>
      <c r="G7" s="95">
        <f t="shared" si="0"/>
        <v>6</v>
      </c>
      <c r="H7" s="43">
        <v>1</v>
      </c>
      <c r="I7" s="43"/>
      <c r="J7" s="43"/>
      <c r="K7" s="43">
        <v>1</v>
      </c>
      <c r="L7" s="43"/>
      <c r="M7" s="43">
        <v>1</v>
      </c>
      <c r="N7" s="43"/>
      <c r="O7" s="43"/>
      <c r="P7" s="43">
        <v>1</v>
      </c>
      <c r="Q7" s="43"/>
      <c r="R7" s="43">
        <v>1</v>
      </c>
      <c r="S7" s="43">
        <v>1</v>
      </c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98"/>
      <c r="AL7" s="43"/>
      <c r="AM7" s="43"/>
      <c r="AN7" s="43"/>
      <c r="AO7" s="43"/>
      <c r="AP7" s="43"/>
      <c r="AQ7" s="43"/>
      <c r="AR7" s="43"/>
      <c r="AS7" s="43"/>
      <c r="AT7" s="43"/>
      <c r="AU7" s="44"/>
    </row>
    <row r="8" spans="2:47" s="38" customFormat="1" ht="30" customHeight="1" x14ac:dyDescent="0.2">
      <c r="B8" s="78" t="s">
        <v>14</v>
      </c>
      <c r="C8" s="63" t="s">
        <v>76</v>
      </c>
      <c r="D8" s="64"/>
      <c r="E8" s="42">
        <v>7000</v>
      </c>
      <c r="F8" s="18">
        <f>E8*G8</f>
        <v>7000</v>
      </c>
      <c r="G8" s="95">
        <f t="shared" si="0"/>
        <v>1</v>
      </c>
      <c r="H8" s="43"/>
      <c r="I8" s="43"/>
      <c r="J8" s="43">
        <v>1</v>
      </c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98"/>
      <c r="AL8" s="43"/>
      <c r="AM8" s="43"/>
      <c r="AN8" s="43"/>
      <c r="AO8" s="43"/>
      <c r="AP8" s="43"/>
      <c r="AQ8" s="43"/>
      <c r="AR8" s="43"/>
      <c r="AS8" s="43"/>
      <c r="AT8" s="43"/>
      <c r="AU8" s="44"/>
    </row>
    <row r="9" spans="2:47" s="38" customFormat="1" ht="30" customHeight="1" x14ac:dyDescent="0.2">
      <c r="B9" s="78" t="s">
        <v>15</v>
      </c>
      <c r="C9" s="63" t="s">
        <v>57</v>
      </c>
      <c r="D9" s="64"/>
      <c r="E9" s="42">
        <v>5500</v>
      </c>
      <c r="F9" s="18">
        <f>E9*G9</f>
        <v>60500</v>
      </c>
      <c r="G9" s="95">
        <f t="shared" si="0"/>
        <v>11</v>
      </c>
      <c r="H9" s="43"/>
      <c r="I9" s="43">
        <v>1</v>
      </c>
      <c r="J9" s="43"/>
      <c r="K9" s="43"/>
      <c r="L9" s="43"/>
      <c r="M9" s="43"/>
      <c r="N9" s="43">
        <v>1</v>
      </c>
      <c r="O9" s="43">
        <v>1</v>
      </c>
      <c r="P9" s="43"/>
      <c r="Q9" s="43"/>
      <c r="R9" s="43"/>
      <c r="S9" s="43"/>
      <c r="T9" s="43">
        <v>2</v>
      </c>
      <c r="U9" s="43"/>
      <c r="V9" s="43"/>
      <c r="W9" s="43"/>
      <c r="X9" s="43">
        <v>2</v>
      </c>
      <c r="Y9" s="43">
        <v>2</v>
      </c>
      <c r="Z9" s="43">
        <v>1</v>
      </c>
      <c r="AA9" s="43"/>
      <c r="AB9" s="43">
        <v>1</v>
      </c>
      <c r="AC9" s="43"/>
      <c r="AD9" s="43"/>
      <c r="AE9" s="43"/>
      <c r="AF9" s="43"/>
      <c r="AG9" s="43"/>
      <c r="AH9" s="43"/>
      <c r="AI9" s="43"/>
      <c r="AJ9" s="43"/>
      <c r="AK9" s="98"/>
      <c r="AL9" s="43"/>
      <c r="AM9" s="43"/>
      <c r="AN9" s="43"/>
      <c r="AO9" s="43"/>
      <c r="AP9" s="43"/>
      <c r="AQ9" s="43"/>
      <c r="AR9" s="43"/>
      <c r="AS9" s="43"/>
      <c r="AT9" s="43"/>
      <c r="AU9" s="44"/>
    </row>
    <row r="10" spans="2:47" s="38" customFormat="1" ht="30" customHeight="1" x14ac:dyDescent="0.2">
      <c r="B10" s="78" t="s">
        <v>16</v>
      </c>
      <c r="C10" s="63" t="s">
        <v>60</v>
      </c>
      <c r="D10" s="64"/>
      <c r="E10" s="42">
        <v>4000</v>
      </c>
      <c r="F10" s="18">
        <f t="shared" ref="F10:F19" si="1">E10*G10</f>
        <v>4000</v>
      </c>
      <c r="G10" s="95">
        <f t="shared" si="0"/>
        <v>1</v>
      </c>
      <c r="H10" s="43"/>
      <c r="I10" s="43"/>
      <c r="J10" s="43"/>
      <c r="K10" s="43"/>
      <c r="L10" s="43"/>
      <c r="M10" s="43"/>
      <c r="N10" s="43"/>
      <c r="O10" s="43">
        <v>1</v>
      </c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98"/>
      <c r="AL10" s="43"/>
      <c r="AM10" s="43"/>
      <c r="AN10" s="43"/>
      <c r="AO10" s="43"/>
      <c r="AP10" s="43"/>
      <c r="AQ10" s="43"/>
      <c r="AR10" s="43"/>
      <c r="AS10" s="43"/>
      <c r="AT10" s="43"/>
      <c r="AU10" s="44"/>
    </row>
    <row r="11" spans="2:47" s="38" customFormat="1" ht="30" customHeight="1" x14ac:dyDescent="0.2">
      <c r="B11" s="78" t="s">
        <v>17</v>
      </c>
      <c r="C11" s="63" t="s">
        <v>72</v>
      </c>
      <c r="D11" s="64"/>
      <c r="E11" s="42">
        <v>4000</v>
      </c>
      <c r="F11" s="18">
        <f t="shared" si="1"/>
        <v>4000</v>
      </c>
      <c r="G11" s="95">
        <f t="shared" si="0"/>
        <v>1</v>
      </c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>
        <v>1</v>
      </c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98"/>
      <c r="AL11" s="43"/>
      <c r="AM11" s="43"/>
      <c r="AN11" s="43"/>
      <c r="AO11" s="43"/>
      <c r="AP11" s="43"/>
      <c r="AQ11" s="43"/>
      <c r="AR11" s="43"/>
      <c r="AS11" s="43"/>
      <c r="AT11" s="43"/>
      <c r="AU11" s="44"/>
    </row>
    <row r="12" spans="2:47" s="38" customFormat="1" ht="30" customHeight="1" x14ac:dyDescent="0.2">
      <c r="B12" s="78" t="s">
        <v>18</v>
      </c>
      <c r="C12" s="63" t="s">
        <v>73</v>
      </c>
      <c r="D12" s="64"/>
      <c r="E12" s="42">
        <v>4000</v>
      </c>
      <c r="F12" s="18">
        <f t="shared" si="1"/>
        <v>8000</v>
      </c>
      <c r="G12" s="95">
        <f t="shared" si="0"/>
        <v>2</v>
      </c>
      <c r="H12" s="43"/>
      <c r="I12" s="43"/>
      <c r="J12" s="43"/>
      <c r="K12" s="43"/>
      <c r="L12" s="43"/>
      <c r="M12" s="43"/>
      <c r="N12" s="43">
        <v>1</v>
      </c>
      <c r="O12" s="43"/>
      <c r="P12" s="43"/>
      <c r="Q12" s="43"/>
      <c r="R12" s="43"/>
      <c r="S12" s="43"/>
      <c r="T12" s="43"/>
      <c r="U12" s="43"/>
      <c r="V12" s="43">
        <v>1</v>
      </c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98"/>
      <c r="AL12" s="43"/>
      <c r="AM12" s="43"/>
      <c r="AN12" s="43"/>
      <c r="AO12" s="43"/>
      <c r="AP12" s="43"/>
      <c r="AQ12" s="43"/>
      <c r="AR12" s="43"/>
      <c r="AS12" s="43"/>
      <c r="AT12" s="43"/>
      <c r="AU12" s="44"/>
    </row>
    <row r="13" spans="2:47" s="38" customFormat="1" ht="30" customHeight="1" x14ac:dyDescent="0.2">
      <c r="B13" s="78" t="s">
        <v>19</v>
      </c>
      <c r="C13" s="63" t="s">
        <v>59</v>
      </c>
      <c r="D13" s="64"/>
      <c r="E13" s="42">
        <v>5000</v>
      </c>
      <c r="F13" s="18">
        <f t="shared" si="1"/>
        <v>10000</v>
      </c>
      <c r="G13" s="95">
        <f t="shared" si="0"/>
        <v>2</v>
      </c>
      <c r="H13" s="45"/>
      <c r="I13" s="45"/>
      <c r="J13" s="45"/>
      <c r="K13" s="45"/>
      <c r="L13" s="45">
        <v>1</v>
      </c>
      <c r="M13" s="45"/>
      <c r="N13" s="45">
        <v>1</v>
      </c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99"/>
      <c r="AL13" s="43"/>
      <c r="AM13" s="43"/>
      <c r="AN13" s="43"/>
      <c r="AO13" s="43"/>
      <c r="AP13" s="43"/>
      <c r="AQ13" s="43"/>
      <c r="AR13" s="43"/>
      <c r="AS13" s="43"/>
      <c r="AT13" s="43"/>
      <c r="AU13" s="44"/>
    </row>
    <row r="14" spans="2:47" s="38" customFormat="1" ht="30" customHeight="1" x14ac:dyDescent="0.2">
      <c r="B14" s="78" t="s">
        <v>20</v>
      </c>
      <c r="C14" s="63" t="s">
        <v>66</v>
      </c>
      <c r="D14" s="64"/>
      <c r="E14" s="42">
        <v>7000</v>
      </c>
      <c r="F14" s="18">
        <f t="shared" si="1"/>
        <v>21000</v>
      </c>
      <c r="G14" s="95">
        <f t="shared" si="0"/>
        <v>3</v>
      </c>
      <c r="H14" s="43"/>
      <c r="I14" s="43"/>
      <c r="J14" s="43"/>
      <c r="K14" s="43">
        <v>1</v>
      </c>
      <c r="L14" s="43"/>
      <c r="M14" s="43"/>
      <c r="N14" s="43"/>
      <c r="O14" s="43"/>
      <c r="P14" s="43"/>
      <c r="Q14" s="43">
        <v>1</v>
      </c>
      <c r="R14" s="43"/>
      <c r="S14" s="43"/>
      <c r="T14" s="43"/>
      <c r="U14" s="43">
        <v>1</v>
      </c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98"/>
      <c r="AL14" s="43"/>
      <c r="AM14" s="43"/>
      <c r="AN14" s="43"/>
      <c r="AO14" s="43"/>
      <c r="AP14" s="43"/>
      <c r="AQ14" s="43"/>
      <c r="AR14" s="43"/>
      <c r="AS14" s="43"/>
      <c r="AT14" s="43"/>
      <c r="AU14" s="44"/>
    </row>
    <row r="15" spans="2:47" s="38" customFormat="1" ht="30" customHeight="1" x14ac:dyDescent="0.2">
      <c r="B15" s="78" t="s">
        <v>21</v>
      </c>
      <c r="C15" s="63" t="s">
        <v>75</v>
      </c>
      <c r="D15" s="64"/>
      <c r="E15" s="42">
        <v>7000</v>
      </c>
      <c r="F15" s="18">
        <f t="shared" si="1"/>
        <v>14000</v>
      </c>
      <c r="G15" s="95">
        <f t="shared" si="0"/>
        <v>2</v>
      </c>
      <c r="H15" s="43"/>
      <c r="I15" s="43"/>
      <c r="J15" s="43"/>
      <c r="K15" s="43">
        <v>1</v>
      </c>
      <c r="L15" s="43"/>
      <c r="M15" s="43"/>
      <c r="N15" s="43"/>
      <c r="O15" s="43"/>
      <c r="P15" s="43"/>
      <c r="Q15" s="43">
        <v>1</v>
      </c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98"/>
      <c r="AL15" s="43"/>
      <c r="AM15" s="43"/>
      <c r="AN15" s="43"/>
      <c r="AO15" s="43"/>
      <c r="AP15" s="43"/>
      <c r="AQ15" s="43"/>
      <c r="AR15" s="43"/>
      <c r="AS15" s="43"/>
      <c r="AT15" s="43"/>
      <c r="AU15" s="44"/>
    </row>
    <row r="16" spans="2:47" s="38" customFormat="1" ht="30" customHeight="1" x14ac:dyDescent="0.2">
      <c r="B16" s="78" t="s">
        <v>22</v>
      </c>
      <c r="C16" s="63"/>
      <c r="D16" s="64"/>
      <c r="E16" s="42">
        <v>7000</v>
      </c>
      <c r="F16" s="18">
        <f t="shared" si="1"/>
        <v>0</v>
      </c>
      <c r="G16" s="95">
        <f t="shared" si="0"/>
        <v>0</v>
      </c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98"/>
      <c r="AL16" s="43"/>
      <c r="AM16" s="43"/>
      <c r="AN16" s="43"/>
      <c r="AO16" s="43"/>
      <c r="AP16" s="43"/>
      <c r="AQ16" s="43"/>
      <c r="AR16" s="43"/>
      <c r="AS16" s="43"/>
      <c r="AT16" s="43"/>
      <c r="AU16" s="44"/>
    </row>
    <row r="17" spans="2:47" s="38" customFormat="1" ht="30" customHeight="1" x14ac:dyDescent="0.2">
      <c r="B17" s="78" t="s">
        <v>23</v>
      </c>
      <c r="C17" s="63"/>
      <c r="D17" s="64"/>
      <c r="E17" s="42">
        <v>7000</v>
      </c>
      <c r="F17" s="18">
        <f t="shared" si="1"/>
        <v>0</v>
      </c>
      <c r="G17" s="95">
        <f t="shared" si="0"/>
        <v>0</v>
      </c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98"/>
      <c r="AL17" s="43"/>
      <c r="AM17" s="43"/>
      <c r="AN17" s="43"/>
      <c r="AO17" s="43"/>
      <c r="AP17" s="43"/>
      <c r="AQ17" s="43"/>
      <c r="AR17" s="43"/>
      <c r="AS17" s="43"/>
      <c r="AT17" s="43"/>
      <c r="AU17" s="44"/>
    </row>
    <row r="18" spans="2:47" s="38" customFormat="1" ht="30" customHeight="1" x14ac:dyDescent="0.2">
      <c r="B18" s="78" t="s">
        <v>24</v>
      </c>
      <c r="C18" s="63"/>
      <c r="D18" s="64"/>
      <c r="E18" s="42">
        <v>7000</v>
      </c>
      <c r="F18" s="18">
        <f t="shared" si="1"/>
        <v>0</v>
      </c>
      <c r="G18" s="95">
        <f t="shared" si="0"/>
        <v>0</v>
      </c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99"/>
      <c r="AL18" s="43"/>
      <c r="AM18" s="43"/>
      <c r="AN18" s="43"/>
      <c r="AO18" s="43"/>
      <c r="AP18" s="43"/>
      <c r="AQ18" s="43"/>
      <c r="AR18" s="43"/>
      <c r="AS18" s="43"/>
      <c r="AT18" s="43"/>
      <c r="AU18" s="44"/>
    </row>
    <row r="19" spans="2:47" s="38" customFormat="1" ht="30" customHeight="1" x14ac:dyDescent="0.2">
      <c r="B19" s="79" t="s">
        <v>25</v>
      </c>
      <c r="C19" s="65"/>
      <c r="D19" s="9"/>
      <c r="E19" s="61">
        <v>7000</v>
      </c>
      <c r="F19" s="50">
        <f t="shared" si="1"/>
        <v>0</v>
      </c>
      <c r="G19" s="95">
        <f t="shared" si="0"/>
        <v>0</v>
      </c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98"/>
      <c r="AL19" s="45"/>
      <c r="AM19" s="45"/>
      <c r="AN19" s="45"/>
      <c r="AO19" s="45"/>
      <c r="AP19" s="45"/>
      <c r="AQ19" s="45"/>
      <c r="AR19" s="45"/>
      <c r="AS19" s="45"/>
      <c r="AT19" s="45"/>
      <c r="AU19" s="60"/>
    </row>
    <row r="20" spans="2:47" s="38" customFormat="1" ht="20.100000000000001" customHeight="1" x14ac:dyDescent="0.2">
      <c r="B20" s="139" t="s">
        <v>8</v>
      </c>
      <c r="C20" s="140"/>
      <c r="D20" s="144"/>
      <c r="E20" s="146">
        <f>SUM(E6:E8,E10:E15)+E9*2</f>
        <v>61500</v>
      </c>
      <c r="F20" s="125">
        <f t="shared" ref="F20:X20" si="2">SUM(F6:F19)</f>
        <v>185500</v>
      </c>
      <c r="G20" s="125">
        <f t="shared" si="2"/>
        <v>32</v>
      </c>
      <c r="H20" s="23">
        <f t="shared" si="2"/>
        <v>1</v>
      </c>
      <c r="I20" s="23">
        <f t="shared" si="2"/>
        <v>1</v>
      </c>
      <c r="J20" s="23">
        <f t="shared" si="2"/>
        <v>1</v>
      </c>
      <c r="K20" s="23">
        <f t="shared" si="2"/>
        <v>3</v>
      </c>
      <c r="L20" s="23">
        <f t="shared" si="2"/>
        <v>1</v>
      </c>
      <c r="M20" s="23">
        <f t="shared" si="2"/>
        <v>1</v>
      </c>
      <c r="N20" s="23">
        <f t="shared" si="2"/>
        <v>3</v>
      </c>
      <c r="O20" s="23">
        <f t="shared" si="2"/>
        <v>2</v>
      </c>
      <c r="P20" s="23">
        <f t="shared" si="2"/>
        <v>2</v>
      </c>
      <c r="Q20" s="23">
        <f t="shared" si="2"/>
        <v>2</v>
      </c>
      <c r="R20" s="23">
        <f t="shared" si="2"/>
        <v>1</v>
      </c>
      <c r="S20" s="23">
        <f t="shared" si="2"/>
        <v>1</v>
      </c>
      <c r="T20" s="23">
        <f t="shared" si="2"/>
        <v>2</v>
      </c>
      <c r="U20" s="23">
        <f t="shared" si="2"/>
        <v>1</v>
      </c>
      <c r="V20" s="23">
        <f t="shared" si="2"/>
        <v>1</v>
      </c>
      <c r="W20" s="23">
        <f t="shared" si="2"/>
        <v>1</v>
      </c>
      <c r="X20" s="23">
        <f t="shared" si="2"/>
        <v>2</v>
      </c>
      <c r="Y20" s="23">
        <f t="shared" ref="Y20:AH20" si="3">SUM(Y6:Y19)</f>
        <v>3</v>
      </c>
      <c r="Z20" s="23">
        <f t="shared" si="3"/>
        <v>1</v>
      </c>
      <c r="AA20" s="23">
        <f t="shared" si="3"/>
        <v>1</v>
      </c>
      <c r="AB20" s="23">
        <f t="shared" si="3"/>
        <v>1</v>
      </c>
      <c r="AC20" s="23">
        <f t="shared" si="3"/>
        <v>0</v>
      </c>
      <c r="AD20" s="23">
        <f t="shared" si="3"/>
        <v>0</v>
      </c>
      <c r="AE20" s="23">
        <f t="shared" si="3"/>
        <v>0</v>
      </c>
      <c r="AF20" s="23">
        <f t="shared" si="3"/>
        <v>0</v>
      </c>
      <c r="AG20" s="23">
        <f t="shared" si="3"/>
        <v>0</v>
      </c>
      <c r="AH20" s="23">
        <f t="shared" si="3"/>
        <v>0</v>
      </c>
      <c r="AI20" s="23">
        <f>SUM(AI6:AI19)</f>
        <v>0</v>
      </c>
      <c r="AJ20" s="23">
        <f>SUM(AJ6:AJ19)</f>
        <v>0</v>
      </c>
      <c r="AK20" s="100">
        <f>SUM(AK6:AK19)</f>
        <v>0</v>
      </c>
      <c r="AL20" s="101">
        <f>SUM(AL6:AL19)</f>
        <v>0</v>
      </c>
      <c r="AM20" s="101">
        <f t="shared" ref="AM20:AU20" si="4">SUM(AM6:AM19)</f>
        <v>0</v>
      </c>
      <c r="AN20" s="101">
        <f t="shared" si="4"/>
        <v>0</v>
      </c>
      <c r="AO20" s="101">
        <f t="shared" si="4"/>
        <v>0</v>
      </c>
      <c r="AP20" s="101">
        <f t="shared" si="4"/>
        <v>0</v>
      </c>
      <c r="AQ20" s="101">
        <f t="shared" si="4"/>
        <v>0</v>
      </c>
      <c r="AR20" s="101">
        <f t="shared" si="4"/>
        <v>0</v>
      </c>
      <c r="AS20" s="101">
        <f t="shared" si="4"/>
        <v>0</v>
      </c>
      <c r="AT20" s="101">
        <f t="shared" si="4"/>
        <v>0</v>
      </c>
      <c r="AU20" s="102">
        <f t="shared" si="4"/>
        <v>0</v>
      </c>
    </row>
    <row r="21" spans="2:47" s="38" customFormat="1" ht="20.100000000000001" customHeight="1" x14ac:dyDescent="0.2">
      <c r="B21" s="141"/>
      <c r="C21" s="142"/>
      <c r="D21" s="145"/>
      <c r="E21" s="147"/>
      <c r="F21" s="126"/>
      <c r="G21" s="126"/>
      <c r="H21" s="46">
        <f>$E6*H6+$E7*H7+$E8*H8+$E9*H9+$E10*H10+$E11*H11+$E12*H12+$E14*H14+$E15*H15+$E16*H16+$E17*H17+$E18*H18+$E19*H19+$E13*H13</f>
        <v>6500</v>
      </c>
      <c r="I21" s="28">
        <f t="shared" ref="I21:AK21" si="5">$E6*I6+$E7*I7+$E8*I8+$E9*I9+$E10*I10+$E11*I11+$E12*I12+$E14*I14+$E15*I15+$E16*I16+$E17*I17+$E18*I18+$E19*I19+$E13*I13</f>
        <v>5500</v>
      </c>
      <c r="J21" s="28">
        <f t="shared" si="5"/>
        <v>7000</v>
      </c>
      <c r="K21" s="28">
        <f t="shared" si="5"/>
        <v>20500</v>
      </c>
      <c r="L21" s="28">
        <f t="shared" si="5"/>
        <v>5000</v>
      </c>
      <c r="M21" s="28">
        <f t="shared" si="5"/>
        <v>6500</v>
      </c>
      <c r="N21" s="28">
        <f t="shared" si="5"/>
        <v>14500</v>
      </c>
      <c r="O21" s="28">
        <f t="shared" si="5"/>
        <v>9500</v>
      </c>
      <c r="P21" s="28">
        <f t="shared" si="5"/>
        <v>12500</v>
      </c>
      <c r="Q21" s="28">
        <f t="shared" si="5"/>
        <v>14000</v>
      </c>
      <c r="R21" s="28">
        <f t="shared" si="5"/>
        <v>6500</v>
      </c>
      <c r="S21" s="28">
        <f t="shared" si="5"/>
        <v>6500</v>
      </c>
      <c r="T21" s="28">
        <f t="shared" si="5"/>
        <v>11000</v>
      </c>
      <c r="U21" s="28">
        <f t="shared" si="5"/>
        <v>7000</v>
      </c>
      <c r="V21" s="28">
        <f t="shared" si="5"/>
        <v>4000</v>
      </c>
      <c r="W21" s="28">
        <f t="shared" si="5"/>
        <v>6000</v>
      </c>
      <c r="X21" s="28">
        <f t="shared" si="5"/>
        <v>11000</v>
      </c>
      <c r="Y21" s="28">
        <f t="shared" si="5"/>
        <v>15000</v>
      </c>
      <c r="Z21" s="28">
        <f t="shared" si="5"/>
        <v>5500</v>
      </c>
      <c r="AA21" s="28">
        <f t="shared" si="5"/>
        <v>6000</v>
      </c>
      <c r="AB21" s="28">
        <f t="shared" si="5"/>
        <v>5500</v>
      </c>
      <c r="AC21" s="28">
        <f t="shared" si="5"/>
        <v>0</v>
      </c>
      <c r="AD21" s="28">
        <f t="shared" si="5"/>
        <v>0</v>
      </c>
      <c r="AE21" s="28">
        <f t="shared" si="5"/>
        <v>0</v>
      </c>
      <c r="AF21" s="28">
        <f t="shared" si="5"/>
        <v>0</v>
      </c>
      <c r="AG21" s="28">
        <f t="shared" si="5"/>
        <v>0</v>
      </c>
      <c r="AH21" s="28">
        <f t="shared" si="5"/>
        <v>0</v>
      </c>
      <c r="AI21" s="28">
        <f t="shared" si="5"/>
        <v>0</v>
      </c>
      <c r="AJ21" s="28">
        <f t="shared" si="5"/>
        <v>0</v>
      </c>
      <c r="AK21" s="74">
        <f t="shared" si="5"/>
        <v>0</v>
      </c>
      <c r="AL21" s="28">
        <f>$E6*AL6+$E7*AL7+$E8*AL8+$E9*AL9+$E10*AL10+$E11*AL11+$E12*AL12+$E14*AL14+$E15*AL15+$E16*AL16+$E17*AL17+$E18*AL18+$E19*AL19+$E13*AL13</f>
        <v>0</v>
      </c>
      <c r="AM21" s="28">
        <f>$E6*AM6+$E7*AM7+$E8*AM8+$E9*AM9+$E10*AM10+$E11*AM11+$E12*AM12+$E14*AM14+$E15*AM15+$E16*AM16+$E17*AM17+$E18*AM18+$E19*AM19+$E13*AM13</f>
        <v>0</v>
      </c>
      <c r="AN21" s="28">
        <f>$E6*AN6+$E7*AN7+$E8*AN8+$E9*AN9+$E10*AN10+$E11*AN11+$E12*AN12+$E14*AN14+$E15*AN15+$E16*AN16+$E17*AN17+$E18*AN18+$E19*AN19+$E13*AN13</f>
        <v>0</v>
      </c>
      <c r="AO21" s="28">
        <f t="shared" ref="AO21:AU21" si="6">$E6*AO6+$E7*AO7+$E8*AO8+$E9*AO9+$E10*AO10+$E11*AO11+$E12*AO12+$E14*AO14+$E15*AO15+$E16*AO16+$E17*AO17+$E18*AO18+$E19*AO19+$E13*AO13</f>
        <v>0</v>
      </c>
      <c r="AP21" s="28">
        <f t="shared" si="6"/>
        <v>0</v>
      </c>
      <c r="AQ21" s="28">
        <f t="shared" si="6"/>
        <v>0</v>
      </c>
      <c r="AR21" s="28">
        <f t="shared" si="6"/>
        <v>0</v>
      </c>
      <c r="AS21" s="28">
        <f t="shared" si="6"/>
        <v>0</v>
      </c>
      <c r="AT21" s="28">
        <f t="shared" si="6"/>
        <v>0</v>
      </c>
      <c r="AU21" s="29">
        <f t="shared" si="6"/>
        <v>0</v>
      </c>
    </row>
  </sheetData>
  <sheetProtection password="CC67" sheet="1" objects="1" scenarios="1"/>
  <mergeCells count="10">
    <mergeCell ref="B20:D21"/>
    <mergeCell ref="E20:E21"/>
    <mergeCell ref="F20:F21"/>
    <mergeCell ref="G20:G21"/>
    <mergeCell ref="B2:G2"/>
    <mergeCell ref="B4:B5"/>
    <mergeCell ref="C4:C5"/>
    <mergeCell ref="D4:D5"/>
    <mergeCell ref="E4:E5"/>
    <mergeCell ref="F4:F5"/>
  </mergeCells>
  <phoneticPr fontId="2" type="noConversion"/>
  <pageMargins left="0.7" right="0.7" top="0.75" bottom="0.75" header="0.3" footer="0.3"/>
  <pageSetup paperSize="9" scale="31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B1:AU21"/>
  <sheetViews>
    <sheetView showGridLines="0" zoomScale="85" zoomScaleNormal="85" workbookViewId="0">
      <pane xSplit="7" ySplit="5" topLeftCell="H6" activePane="bottomRight" state="frozen"/>
      <selection pane="topRight" activeCell="G1" sqref="G1"/>
      <selection pane="bottomLeft" activeCell="A6" sqref="A6"/>
      <selection pane="bottomRight" activeCell="B2" sqref="B2:G2"/>
    </sheetView>
  </sheetViews>
  <sheetFormatPr defaultColWidth="9.125" defaultRowHeight="14.25" x14ac:dyDescent="0.2"/>
  <cols>
    <col min="1" max="1" width="0.375" style="1" customWidth="1"/>
    <col min="2" max="2" width="16.875" style="1" bestFit="1" customWidth="1"/>
    <col min="3" max="4" width="13.625" style="1" customWidth="1"/>
    <col min="5" max="5" width="10.625" style="1" hidden="1" customWidth="1"/>
    <col min="6" max="6" width="10.625" style="1" customWidth="1"/>
    <col min="7" max="7" width="10.625" style="3" customWidth="1"/>
    <col min="8" max="22" width="10.625" style="4" customWidth="1"/>
    <col min="23" max="47" width="10.625" style="1" customWidth="1"/>
    <col min="48" max="16384" width="9.125" style="1"/>
  </cols>
  <sheetData>
    <row r="1" spans="2:47" ht="3.75" customHeight="1" x14ac:dyDescent="0.2"/>
    <row r="2" spans="2:47" ht="20.25" x14ac:dyDescent="0.2">
      <c r="B2" s="149" t="s">
        <v>26</v>
      </c>
      <c r="C2" s="149"/>
      <c r="D2" s="149"/>
      <c r="E2" s="149"/>
      <c r="F2" s="149"/>
      <c r="G2" s="149"/>
    </row>
    <row r="3" spans="2:47" ht="4.9000000000000004" customHeight="1" x14ac:dyDescent="0.2"/>
    <row r="4" spans="2:47" s="38" customFormat="1" ht="20.100000000000001" customHeight="1" x14ac:dyDescent="0.2">
      <c r="B4" s="150" t="s">
        <v>3</v>
      </c>
      <c r="C4" s="123" t="s">
        <v>45</v>
      </c>
      <c r="D4" s="153" t="s">
        <v>46</v>
      </c>
      <c r="E4" s="135" t="s">
        <v>4</v>
      </c>
      <c r="F4" s="129" t="s">
        <v>5</v>
      </c>
      <c r="G4" s="32" t="s">
        <v>0</v>
      </c>
      <c r="H4" s="33">
        <v>1</v>
      </c>
      <c r="I4" s="34">
        <v>2</v>
      </c>
      <c r="J4" s="34">
        <v>3</v>
      </c>
      <c r="K4" s="34">
        <v>4</v>
      </c>
      <c r="L4" s="34">
        <v>5</v>
      </c>
      <c r="M4" s="34">
        <v>6</v>
      </c>
      <c r="N4" s="34">
        <v>7</v>
      </c>
      <c r="O4" s="34">
        <v>8</v>
      </c>
      <c r="P4" s="34">
        <v>9</v>
      </c>
      <c r="Q4" s="34">
        <v>10</v>
      </c>
      <c r="R4" s="34">
        <v>11</v>
      </c>
      <c r="S4" s="34">
        <v>12</v>
      </c>
      <c r="T4" s="34">
        <v>13</v>
      </c>
      <c r="U4" s="34">
        <v>14</v>
      </c>
      <c r="V4" s="34">
        <v>15</v>
      </c>
      <c r="W4" s="34">
        <v>16</v>
      </c>
      <c r="X4" s="34">
        <v>17</v>
      </c>
      <c r="Y4" s="33">
        <v>18</v>
      </c>
      <c r="Z4" s="34">
        <v>19</v>
      </c>
      <c r="AA4" s="34">
        <v>20</v>
      </c>
      <c r="AB4" s="34">
        <v>21</v>
      </c>
      <c r="AC4" s="34">
        <v>22</v>
      </c>
      <c r="AD4" s="34">
        <v>23</v>
      </c>
      <c r="AE4" s="34">
        <v>24</v>
      </c>
      <c r="AF4" s="34">
        <v>25</v>
      </c>
      <c r="AG4" s="34">
        <v>26</v>
      </c>
      <c r="AH4" s="34">
        <v>27</v>
      </c>
      <c r="AI4" s="34">
        <v>28</v>
      </c>
      <c r="AJ4" s="34">
        <v>29</v>
      </c>
      <c r="AK4" s="96">
        <v>30</v>
      </c>
      <c r="AL4" s="34">
        <v>31</v>
      </c>
      <c r="AM4" s="34">
        <v>32</v>
      </c>
      <c r="AN4" s="34">
        <v>33</v>
      </c>
      <c r="AO4" s="34">
        <v>34</v>
      </c>
      <c r="AP4" s="34">
        <v>35</v>
      </c>
      <c r="AQ4" s="34">
        <v>36</v>
      </c>
      <c r="AR4" s="34">
        <v>37</v>
      </c>
      <c r="AS4" s="34">
        <v>38</v>
      </c>
      <c r="AT4" s="34">
        <v>39</v>
      </c>
      <c r="AU4" s="35">
        <v>40</v>
      </c>
    </row>
    <row r="5" spans="2:47" s="38" customFormat="1" ht="20.100000000000001" customHeight="1" x14ac:dyDescent="0.2">
      <c r="B5" s="151"/>
      <c r="C5" s="152"/>
      <c r="D5" s="154"/>
      <c r="E5" s="136"/>
      <c r="F5" s="130"/>
      <c r="G5" s="36" t="s">
        <v>1</v>
      </c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94"/>
      <c r="AL5" s="7"/>
      <c r="AM5" s="7"/>
      <c r="AN5" s="7"/>
      <c r="AO5" s="7"/>
      <c r="AP5" s="7"/>
      <c r="AQ5" s="7"/>
      <c r="AR5" s="7"/>
      <c r="AS5" s="7"/>
      <c r="AT5" s="7"/>
      <c r="AU5" s="9"/>
    </row>
    <row r="6" spans="2:47" s="38" customFormat="1" ht="30" customHeight="1" x14ac:dyDescent="0.2">
      <c r="B6" s="77" t="s">
        <v>12</v>
      </c>
      <c r="C6" s="62"/>
      <c r="D6" s="35"/>
      <c r="E6" s="39">
        <v>6000</v>
      </c>
      <c r="F6" s="12">
        <f>E6*G6</f>
        <v>0</v>
      </c>
      <c r="G6" s="95">
        <f t="shared" ref="G6:G19" si="0">SUM(H6:AU6)</f>
        <v>0</v>
      </c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97"/>
      <c r="AL6" s="40"/>
      <c r="AM6" s="40"/>
      <c r="AN6" s="40"/>
      <c r="AO6" s="40"/>
      <c r="AP6" s="40"/>
      <c r="AQ6" s="40"/>
      <c r="AR6" s="40"/>
      <c r="AS6" s="40"/>
      <c r="AT6" s="40"/>
      <c r="AU6" s="41"/>
    </row>
    <row r="7" spans="2:47" s="38" customFormat="1" ht="30" customHeight="1" x14ac:dyDescent="0.2">
      <c r="B7" s="78" t="s">
        <v>13</v>
      </c>
      <c r="C7" s="63"/>
      <c r="D7" s="64"/>
      <c r="E7" s="42">
        <v>6500</v>
      </c>
      <c r="F7" s="18">
        <f t="shared" ref="F7:F15" si="1">E7*G7</f>
        <v>0</v>
      </c>
      <c r="G7" s="95">
        <f t="shared" si="0"/>
        <v>0</v>
      </c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98"/>
      <c r="AL7" s="43"/>
      <c r="AM7" s="43"/>
      <c r="AN7" s="43"/>
      <c r="AO7" s="43"/>
      <c r="AP7" s="43"/>
      <c r="AQ7" s="43"/>
      <c r="AR7" s="43"/>
      <c r="AS7" s="43"/>
      <c r="AT7" s="43"/>
      <c r="AU7" s="44"/>
    </row>
    <row r="8" spans="2:47" s="38" customFormat="1" ht="30" customHeight="1" x14ac:dyDescent="0.2">
      <c r="B8" s="78" t="s">
        <v>14</v>
      </c>
      <c r="C8" s="63"/>
      <c r="D8" s="64"/>
      <c r="E8" s="42">
        <v>7000</v>
      </c>
      <c r="F8" s="18">
        <f t="shared" si="1"/>
        <v>0</v>
      </c>
      <c r="G8" s="95">
        <f t="shared" si="0"/>
        <v>0</v>
      </c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98"/>
      <c r="AL8" s="43"/>
      <c r="AM8" s="43"/>
      <c r="AN8" s="43"/>
      <c r="AO8" s="43"/>
      <c r="AP8" s="43"/>
      <c r="AQ8" s="43"/>
      <c r="AR8" s="43"/>
      <c r="AS8" s="43"/>
      <c r="AT8" s="43"/>
      <c r="AU8" s="44"/>
    </row>
    <row r="9" spans="2:47" s="38" customFormat="1" ht="30" customHeight="1" x14ac:dyDescent="0.2">
      <c r="B9" s="78" t="s">
        <v>15</v>
      </c>
      <c r="C9" s="63"/>
      <c r="D9" s="64"/>
      <c r="E9" s="42">
        <v>5500</v>
      </c>
      <c r="F9" s="18">
        <f t="shared" si="1"/>
        <v>0</v>
      </c>
      <c r="G9" s="95">
        <f t="shared" si="0"/>
        <v>0</v>
      </c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98"/>
      <c r="AL9" s="43"/>
      <c r="AM9" s="43"/>
      <c r="AN9" s="43"/>
      <c r="AO9" s="43"/>
      <c r="AP9" s="43"/>
      <c r="AQ9" s="43"/>
      <c r="AR9" s="43"/>
      <c r="AS9" s="43"/>
      <c r="AT9" s="43"/>
      <c r="AU9" s="44"/>
    </row>
    <row r="10" spans="2:47" s="38" customFormat="1" ht="30" customHeight="1" x14ac:dyDescent="0.2">
      <c r="B10" s="78" t="s">
        <v>16</v>
      </c>
      <c r="C10" s="63"/>
      <c r="D10" s="64"/>
      <c r="E10" s="42">
        <v>4000</v>
      </c>
      <c r="F10" s="18">
        <f t="shared" si="1"/>
        <v>0</v>
      </c>
      <c r="G10" s="95">
        <f t="shared" si="0"/>
        <v>0</v>
      </c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98"/>
      <c r="AL10" s="43"/>
      <c r="AM10" s="43"/>
      <c r="AN10" s="43"/>
      <c r="AO10" s="43"/>
      <c r="AP10" s="43"/>
      <c r="AQ10" s="43"/>
      <c r="AR10" s="43"/>
      <c r="AS10" s="43"/>
      <c r="AT10" s="43"/>
      <c r="AU10" s="44"/>
    </row>
    <row r="11" spans="2:47" s="38" customFormat="1" ht="30" customHeight="1" x14ac:dyDescent="0.2">
      <c r="B11" s="78" t="s">
        <v>17</v>
      </c>
      <c r="C11" s="63"/>
      <c r="D11" s="64"/>
      <c r="E11" s="42">
        <v>4000</v>
      </c>
      <c r="F11" s="18">
        <f t="shared" si="1"/>
        <v>0</v>
      </c>
      <c r="G11" s="95">
        <f t="shared" si="0"/>
        <v>0</v>
      </c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98"/>
      <c r="AL11" s="43"/>
      <c r="AM11" s="43"/>
      <c r="AN11" s="43"/>
      <c r="AO11" s="43"/>
      <c r="AP11" s="43"/>
      <c r="AQ11" s="43"/>
      <c r="AR11" s="43"/>
      <c r="AS11" s="43"/>
      <c r="AT11" s="43"/>
      <c r="AU11" s="44"/>
    </row>
    <row r="12" spans="2:47" s="38" customFormat="1" ht="30" customHeight="1" x14ac:dyDescent="0.2">
      <c r="B12" s="78" t="s">
        <v>18</v>
      </c>
      <c r="C12" s="63"/>
      <c r="D12" s="64"/>
      <c r="E12" s="42">
        <v>4000</v>
      </c>
      <c r="F12" s="18">
        <f t="shared" si="1"/>
        <v>0</v>
      </c>
      <c r="G12" s="95">
        <f t="shared" si="0"/>
        <v>0</v>
      </c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98"/>
      <c r="AL12" s="43"/>
      <c r="AM12" s="43"/>
      <c r="AN12" s="43"/>
      <c r="AO12" s="43"/>
      <c r="AP12" s="43"/>
      <c r="AQ12" s="43"/>
      <c r="AR12" s="43"/>
      <c r="AS12" s="43"/>
      <c r="AT12" s="43"/>
      <c r="AU12" s="44"/>
    </row>
    <row r="13" spans="2:47" s="38" customFormat="1" ht="30" customHeight="1" x14ac:dyDescent="0.2">
      <c r="B13" s="78" t="s">
        <v>19</v>
      </c>
      <c r="C13" s="63"/>
      <c r="D13" s="64"/>
      <c r="E13" s="42">
        <v>5000</v>
      </c>
      <c r="F13" s="18">
        <f t="shared" si="1"/>
        <v>0</v>
      </c>
      <c r="G13" s="95">
        <f t="shared" si="0"/>
        <v>0</v>
      </c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99"/>
      <c r="AL13" s="43"/>
      <c r="AM13" s="43"/>
      <c r="AN13" s="43"/>
      <c r="AO13" s="43"/>
      <c r="AP13" s="43"/>
      <c r="AQ13" s="43"/>
      <c r="AR13" s="43"/>
      <c r="AS13" s="43"/>
      <c r="AT13" s="43"/>
      <c r="AU13" s="44"/>
    </row>
    <row r="14" spans="2:47" s="38" customFormat="1" ht="30" customHeight="1" x14ac:dyDescent="0.2">
      <c r="B14" s="78" t="s">
        <v>20</v>
      </c>
      <c r="C14" s="63"/>
      <c r="D14" s="64"/>
      <c r="E14" s="42">
        <v>7000</v>
      </c>
      <c r="F14" s="18">
        <f t="shared" si="1"/>
        <v>0</v>
      </c>
      <c r="G14" s="95">
        <f t="shared" si="0"/>
        <v>0</v>
      </c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98"/>
      <c r="AL14" s="43"/>
      <c r="AM14" s="43"/>
      <c r="AN14" s="43"/>
      <c r="AO14" s="43"/>
      <c r="AP14" s="43"/>
      <c r="AQ14" s="43"/>
      <c r="AR14" s="43"/>
      <c r="AS14" s="43"/>
      <c r="AT14" s="43"/>
      <c r="AU14" s="44"/>
    </row>
    <row r="15" spans="2:47" s="38" customFormat="1" ht="30" customHeight="1" x14ac:dyDescent="0.2">
      <c r="B15" s="78" t="s">
        <v>21</v>
      </c>
      <c r="C15" s="63"/>
      <c r="D15" s="64"/>
      <c r="E15" s="42">
        <v>7000</v>
      </c>
      <c r="F15" s="18">
        <f t="shared" si="1"/>
        <v>0</v>
      </c>
      <c r="G15" s="95">
        <f t="shared" si="0"/>
        <v>0</v>
      </c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98"/>
      <c r="AL15" s="43"/>
      <c r="AM15" s="43"/>
      <c r="AN15" s="43"/>
      <c r="AO15" s="43"/>
      <c r="AP15" s="43"/>
      <c r="AQ15" s="43"/>
      <c r="AR15" s="43"/>
      <c r="AS15" s="43"/>
      <c r="AT15" s="43"/>
      <c r="AU15" s="44"/>
    </row>
    <row r="16" spans="2:47" s="38" customFormat="1" ht="30" customHeight="1" x14ac:dyDescent="0.2">
      <c r="B16" s="78" t="s">
        <v>22</v>
      </c>
      <c r="C16" s="63"/>
      <c r="D16" s="64"/>
      <c r="E16" s="42">
        <v>7000</v>
      </c>
      <c r="F16" s="18">
        <f>E16*G16</f>
        <v>0</v>
      </c>
      <c r="G16" s="95">
        <f t="shared" si="0"/>
        <v>0</v>
      </c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98"/>
      <c r="AL16" s="43"/>
      <c r="AM16" s="43"/>
      <c r="AN16" s="43"/>
      <c r="AO16" s="43"/>
      <c r="AP16" s="43"/>
      <c r="AQ16" s="43"/>
      <c r="AR16" s="43"/>
      <c r="AS16" s="43"/>
      <c r="AT16" s="43"/>
      <c r="AU16" s="44"/>
    </row>
    <row r="17" spans="2:47" s="38" customFormat="1" ht="30" customHeight="1" x14ac:dyDescent="0.2">
      <c r="B17" s="78" t="s">
        <v>23</v>
      </c>
      <c r="C17" s="63"/>
      <c r="D17" s="64"/>
      <c r="E17" s="42">
        <v>7000</v>
      </c>
      <c r="F17" s="18">
        <f>E17*G17</f>
        <v>0</v>
      </c>
      <c r="G17" s="95">
        <f t="shared" si="0"/>
        <v>0</v>
      </c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98"/>
      <c r="AL17" s="43"/>
      <c r="AM17" s="43"/>
      <c r="AN17" s="43"/>
      <c r="AO17" s="43"/>
      <c r="AP17" s="43"/>
      <c r="AQ17" s="43"/>
      <c r="AR17" s="43"/>
      <c r="AS17" s="43"/>
      <c r="AT17" s="43"/>
      <c r="AU17" s="44"/>
    </row>
    <row r="18" spans="2:47" s="38" customFormat="1" ht="30" customHeight="1" x14ac:dyDescent="0.2">
      <c r="B18" s="78" t="s">
        <v>24</v>
      </c>
      <c r="C18" s="63"/>
      <c r="D18" s="64"/>
      <c r="E18" s="42">
        <v>7000</v>
      </c>
      <c r="F18" s="18">
        <f>E18*G18</f>
        <v>0</v>
      </c>
      <c r="G18" s="95">
        <f t="shared" si="0"/>
        <v>0</v>
      </c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99"/>
      <c r="AL18" s="43"/>
      <c r="AM18" s="43"/>
      <c r="AN18" s="43"/>
      <c r="AO18" s="43"/>
      <c r="AP18" s="43"/>
      <c r="AQ18" s="43"/>
      <c r="AR18" s="43"/>
      <c r="AS18" s="43"/>
      <c r="AT18" s="43"/>
      <c r="AU18" s="44"/>
    </row>
    <row r="19" spans="2:47" s="38" customFormat="1" ht="30" customHeight="1" x14ac:dyDescent="0.2">
      <c r="B19" s="79" t="s">
        <v>25</v>
      </c>
      <c r="C19" s="65"/>
      <c r="D19" s="9"/>
      <c r="E19" s="61">
        <v>7000</v>
      </c>
      <c r="F19" s="50">
        <f>E19*G19</f>
        <v>0</v>
      </c>
      <c r="G19" s="95">
        <f t="shared" si="0"/>
        <v>0</v>
      </c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98"/>
      <c r="AL19" s="45"/>
      <c r="AM19" s="45"/>
      <c r="AN19" s="45"/>
      <c r="AO19" s="45"/>
      <c r="AP19" s="45"/>
      <c r="AQ19" s="45"/>
      <c r="AR19" s="45"/>
      <c r="AS19" s="45"/>
      <c r="AT19" s="45"/>
      <c r="AU19" s="60"/>
    </row>
    <row r="20" spans="2:47" s="38" customFormat="1" ht="20.100000000000001" customHeight="1" x14ac:dyDescent="0.2">
      <c r="B20" s="139" t="s">
        <v>8</v>
      </c>
      <c r="C20" s="140"/>
      <c r="D20" s="144"/>
      <c r="E20" s="146">
        <f>SUM(E6:E8,E10:E15)+E9*2</f>
        <v>61500</v>
      </c>
      <c r="F20" s="125">
        <f>SUM(F6:F19)</f>
        <v>0</v>
      </c>
      <c r="G20" s="125">
        <f>SUM(G6:G19)</f>
        <v>0</v>
      </c>
      <c r="H20" s="23">
        <f t="shared" ref="H20:X20" si="2">SUM(H6:H19)</f>
        <v>0</v>
      </c>
      <c r="I20" s="23">
        <f t="shared" si="2"/>
        <v>0</v>
      </c>
      <c r="J20" s="23">
        <f t="shared" si="2"/>
        <v>0</v>
      </c>
      <c r="K20" s="23">
        <f t="shared" si="2"/>
        <v>0</v>
      </c>
      <c r="L20" s="23">
        <f t="shared" si="2"/>
        <v>0</v>
      </c>
      <c r="M20" s="23">
        <f t="shared" si="2"/>
        <v>0</v>
      </c>
      <c r="N20" s="23">
        <f t="shared" si="2"/>
        <v>0</v>
      </c>
      <c r="O20" s="23">
        <f t="shared" si="2"/>
        <v>0</v>
      </c>
      <c r="P20" s="23">
        <f t="shared" si="2"/>
        <v>0</v>
      </c>
      <c r="Q20" s="23">
        <f t="shared" si="2"/>
        <v>0</v>
      </c>
      <c r="R20" s="23">
        <f t="shared" si="2"/>
        <v>0</v>
      </c>
      <c r="S20" s="23">
        <f t="shared" si="2"/>
        <v>0</v>
      </c>
      <c r="T20" s="23">
        <f t="shared" si="2"/>
        <v>0</v>
      </c>
      <c r="U20" s="23">
        <f t="shared" si="2"/>
        <v>0</v>
      </c>
      <c r="V20" s="23">
        <f t="shared" si="2"/>
        <v>0</v>
      </c>
      <c r="W20" s="23">
        <f t="shared" si="2"/>
        <v>0</v>
      </c>
      <c r="X20" s="23">
        <f t="shared" si="2"/>
        <v>0</v>
      </c>
      <c r="Y20" s="23">
        <f t="shared" ref="Y20:AH20" si="3">SUM(Y6:Y19)</f>
        <v>0</v>
      </c>
      <c r="Z20" s="23">
        <f t="shared" si="3"/>
        <v>0</v>
      </c>
      <c r="AA20" s="23">
        <f t="shared" si="3"/>
        <v>0</v>
      </c>
      <c r="AB20" s="23">
        <f t="shared" si="3"/>
        <v>0</v>
      </c>
      <c r="AC20" s="23">
        <f t="shared" si="3"/>
        <v>0</v>
      </c>
      <c r="AD20" s="23">
        <f t="shared" si="3"/>
        <v>0</v>
      </c>
      <c r="AE20" s="23">
        <f t="shared" si="3"/>
        <v>0</v>
      </c>
      <c r="AF20" s="23">
        <f t="shared" si="3"/>
        <v>0</v>
      </c>
      <c r="AG20" s="23">
        <f t="shared" si="3"/>
        <v>0</v>
      </c>
      <c r="AH20" s="23">
        <f t="shared" si="3"/>
        <v>0</v>
      </c>
      <c r="AI20" s="23">
        <f>SUM(AI6:AI19)</f>
        <v>0</v>
      </c>
      <c r="AJ20" s="23">
        <f>SUM(AJ6:AJ19)</f>
        <v>0</v>
      </c>
      <c r="AK20" s="100">
        <f>SUM(AK6:AK19)</f>
        <v>0</v>
      </c>
      <c r="AL20" s="101">
        <f>SUM(AL6:AL19)</f>
        <v>0</v>
      </c>
      <c r="AM20" s="101">
        <f t="shared" ref="AM20:AU20" si="4">SUM(AM6:AM19)</f>
        <v>0</v>
      </c>
      <c r="AN20" s="101">
        <f t="shared" si="4"/>
        <v>0</v>
      </c>
      <c r="AO20" s="101">
        <f t="shared" si="4"/>
        <v>0</v>
      </c>
      <c r="AP20" s="101">
        <f t="shared" si="4"/>
        <v>0</v>
      </c>
      <c r="AQ20" s="101">
        <f t="shared" si="4"/>
        <v>0</v>
      </c>
      <c r="AR20" s="101">
        <f t="shared" si="4"/>
        <v>0</v>
      </c>
      <c r="AS20" s="101">
        <f t="shared" si="4"/>
        <v>0</v>
      </c>
      <c r="AT20" s="101">
        <f t="shared" si="4"/>
        <v>0</v>
      </c>
      <c r="AU20" s="102">
        <f t="shared" si="4"/>
        <v>0</v>
      </c>
    </row>
    <row r="21" spans="2:47" s="38" customFormat="1" ht="20.100000000000001" customHeight="1" x14ac:dyDescent="0.2">
      <c r="B21" s="141"/>
      <c r="C21" s="142"/>
      <c r="D21" s="145"/>
      <c r="E21" s="147"/>
      <c r="F21" s="126"/>
      <c r="G21" s="126"/>
      <c r="H21" s="46">
        <f>$E6*H6+$E7*H7+$E8*H8+$E9*H9+$E10*H10+$E11*H11+$E12*H12+$E14*H14+$E15*H15+$E16*H16+$E17*H17+$E18*H18+$E19*H19+$E13*H13</f>
        <v>0</v>
      </c>
      <c r="I21" s="28">
        <f t="shared" ref="I21:AK21" si="5">$E6*I6+$E7*I7+$E8*I8+$E9*I9+$E10*I10+$E11*I11+$E12*I12+$E14*I14+$E15*I15+$E16*I16+$E17*I17+$E18*I18+$E19*I19+$E13*I13</f>
        <v>0</v>
      </c>
      <c r="J21" s="28">
        <f t="shared" si="5"/>
        <v>0</v>
      </c>
      <c r="K21" s="28">
        <f t="shared" si="5"/>
        <v>0</v>
      </c>
      <c r="L21" s="28">
        <f t="shared" si="5"/>
        <v>0</v>
      </c>
      <c r="M21" s="28">
        <f t="shared" si="5"/>
        <v>0</v>
      </c>
      <c r="N21" s="28">
        <f t="shared" si="5"/>
        <v>0</v>
      </c>
      <c r="O21" s="28">
        <f t="shared" si="5"/>
        <v>0</v>
      </c>
      <c r="P21" s="28">
        <f t="shared" si="5"/>
        <v>0</v>
      </c>
      <c r="Q21" s="28">
        <f t="shared" si="5"/>
        <v>0</v>
      </c>
      <c r="R21" s="28">
        <f t="shared" si="5"/>
        <v>0</v>
      </c>
      <c r="S21" s="28">
        <f t="shared" si="5"/>
        <v>0</v>
      </c>
      <c r="T21" s="28">
        <f t="shared" si="5"/>
        <v>0</v>
      </c>
      <c r="U21" s="28">
        <f t="shared" si="5"/>
        <v>0</v>
      </c>
      <c r="V21" s="28">
        <f t="shared" si="5"/>
        <v>0</v>
      </c>
      <c r="W21" s="28">
        <f t="shared" si="5"/>
        <v>0</v>
      </c>
      <c r="X21" s="28">
        <f t="shared" si="5"/>
        <v>0</v>
      </c>
      <c r="Y21" s="28">
        <f t="shared" si="5"/>
        <v>0</v>
      </c>
      <c r="Z21" s="28">
        <f t="shared" si="5"/>
        <v>0</v>
      </c>
      <c r="AA21" s="28">
        <f t="shared" si="5"/>
        <v>0</v>
      </c>
      <c r="AB21" s="28">
        <f t="shared" si="5"/>
        <v>0</v>
      </c>
      <c r="AC21" s="28">
        <f t="shared" si="5"/>
        <v>0</v>
      </c>
      <c r="AD21" s="28">
        <f t="shared" si="5"/>
        <v>0</v>
      </c>
      <c r="AE21" s="28">
        <f t="shared" si="5"/>
        <v>0</v>
      </c>
      <c r="AF21" s="28">
        <f t="shared" si="5"/>
        <v>0</v>
      </c>
      <c r="AG21" s="28">
        <f t="shared" si="5"/>
        <v>0</v>
      </c>
      <c r="AH21" s="28">
        <f t="shared" si="5"/>
        <v>0</v>
      </c>
      <c r="AI21" s="28">
        <f t="shared" si="5"/>
        <v>0</v>
      </c>
      <c r="AJ21" s="28">
        <f t="shared" si="5"/>
        <v>0</v>
      </c>
      <c r="AK21" s="74">
        <f t="shared" si="5"/>
        <v>0</v>
      </c>
      <c r="AL21" s="28">
        <f>$E6*AL6+$E7*AL7+$E8*AL8+$E9*AL9+$E10*AL10+$E11*AL11+$E12*AL12+$E14*AL14+$E15*AL15+$E16*AL16+$E17*AL17+$E18*AL18+$E19*AL19+$E13*AL13</f>
        <v>0</v>
      </c>
      <c r="AM21" s="28">
        <f>$E6*AM6+$E7*AM7+$E8*AM8+$E9*AM9+$E10*AM10+$E11*AM11+$E12*AM12+$E14*AM14+$E15*AM15+$E16*AM16+$E17*AM17+$E18*AM18+$E19*AM19+$E13*AM13</f>
        <v>0</v>
      </c>
      <c r="AN21" s="28">
        <f>$E6*AN6+$E7*AN7+$E8*AN8+$E9*AN9+$E10*AN10+$E11*AN11+$E12*AN12+$E14*AN14+$E15*AN15+$E16*AN16+$E17*AN17+$E18*AN18+$E19*AN19+$E13*AN13</f>
        <v>0</v>
      </c>
      <c r="AO21" s="28">
        <f t="shared" ref="AO21:AU21" si="6">$E6*AO6+$E7*AO7+$E8*AO8+$E9*AO9+$E10*AO10+$E11*AO11+$E12*AO12+$E14*AO14+$E15*AO15+$E16*AO16+$E17*AO17+$E18*AO18+$E19*AO19+$E13*AO13</f>
        <v>0</v>
      </c>
      <c r="AP21" s="28">
        <f t="shared" si="6"/>
        <v>0</v>
      </c>
      <c r="AQ21" s="28">
        <f t="shared" si="6"/>
        <v>0</v>
      </c>
      <c r="AR21" s="28">
        <f t="shared" si="6"/>
        <v>0</v>
      </c>
      <c r="AS21" s="28">
        <f t="shared" si="6"/>
        <v>0</v>
      </c>
      <c r="AT21" s="28">
        <f t="shared" si="6"/>
        <v>0</v>
      </c>
      <c r="AU21" s="29">
        <f t="shared" si="6"/>
        <v>0</v>
      </c>
    </row>
  </sheetData>
  <sheetProtection password="CC67" sheet="1" objects="1" scenarios="1"/>
  <mergeCells count="10">
    <mergeCell ref="B20:D21"/>
    <mergeCell ref="E20:E21"/>
    <mergeCell ref="F20:F21"/>
    <mergeCell ref="G20:G21"/>
    <mergeCell ref="B2:G2"/>
    <mergeCell ref="B4:B5"/>
    <mergeCell ref="C4:C5"/>
    <mergeCell ref="D4:D5"/>
    <mergeCell ref="E4:E5"/>
    <mergeCell ref="F4:F5"/>
  </mergeCells>
  <phoneticPr fontId="2" type="noConversion"/>
  <pageMargins left="0.7" right="0.7" top="0.75" bottom="0.75" header="0.3" footer="0.3"/>
  <pageSetup paperSize="9" scale="31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B1:AU21"/>
  <sheetViews>
    <sheetView showGridLines="0" zoomScale="85" zoomScaleNormal="85" workbookViewId="0">
      <pane xSplit="7" ySplit="5" topLeftCell="H6" activePane="bottomRight" state="frozen"/>
      <selection pane="topRight" activeCell="G1" sqref="G1"/>
      <selection pane="bottomLeft" activeCell="A6" sqref="A6"/>
      <selection pane="bottomRight" activeCell="B2" sqref="B2:G2"/>
    </sheetView>
  </sheetViews>
  <sheetFormatPr defaultColWidth="9.125" defaultRowHeight="14.25" x14ac:dyDescent="0.2"/>
  <cols>
    <col min="1" max="1" width="0.375" style="1" customWidth="1"/>
    <col min="2" max="2" width="16.875" style="1" bestFit="1" customWidth="1"/>
    <col min="3" max="4" width="13.625" style="1" customWidth="1"/>
    <col min="5" max="5" width="10.625" style="1" hidden="1" customWidth="1"/>
    <col min="6" max="6" width="10.625" style="1" customWidth="1"/>
    <col min="7" max="7" width="10.625" style="3" customWidth="1"/>
    <col min="8" max="22" width="10.625" style="4" customWidth="1"/>
    <col min="23" max="47" width="10.625" style="1" customWidth="1"/>
    <col min="48" max="16384" width="9.125" style="1"/>
  </cols>
  <sheetData>
    <row r="1" spans="2:47" ht="3.75" customHeight="1" x14ac:dyDescent="0.2"/>
    <row r="2" spans="2:47" ht="20.25" x14ac:dyDescent="0.2">
      <c r="B2" s="149" t="s">
        <v>26</v>
      </c>
      <c r="C2" s="149"/>
      <c r="D2" s="149"/>
      <c r="E2" s="149"/>
      <c r="F2" s="149"/>
      <c r="G2" s="149"/>
    </row>
    <row r="3" spans="2:47" ht="4.9000000000000004" customHeight="1" x14ac:dyDescent="0.2"/>
    <row r="4" spans="2:47" s="38" customFormat="1" ht="20.100000000000001" customHeight="1" x14ac:dyDescent="0.2">
      <c r="B4" s="150" t="s">
        <v>3</v>
      </c>
      <c r="C4" s="123" t="s">
        <v>45</v>
      </c>
      <c r="D4" s="153" t="s">
        <v>46</v>
      </c>
      <c r="E4" s="135" t="s">
        <v>4</v>
      </c>
      <c r="F4" s="129" t="s">
        <v>5</v>
      </c>
      <c r="G4" s="32" t="s">
        <v>0</v>
      </c>
      <c r="H4" s="33">
        <v>1</v>
      </c>
      <c r="I4" s="34">
        <v>2</v>
      </c>
      <c r="J4" s="34">
        <v>3</v>
      </c>
      <c r="K4" s="34">
        <v>4</v>
      </c>
      <c r="L4" s="34">
        <v>5</v>
      </c>
      <c r="M4" s="34">
        <v>6</v>
      </c>
      <c r="N4" s="34">
        <v>7</v>
      </c>
      <c r="O4" s="34">
        <v>8</v>
      </c>
      <c r="P4" s="34">
        <v>9</v>
      </c>
      <c r="Q4" s="34">
        <v>10</v>
      </c>
      <c r="R4" s="34">
        <v>11</v>
      </c>
      <c r="S4" s="34">
        <v>12</v>
      </c>
      <c r="T4" s="34">
        <v>13</v>
      </c>
      <c r="U4" s="34">
        <v>14</v>
      </c>
      <c r="V4" s="34">
        <v>15</v>
      </c>
      <c r="W4" s="34">
        <v>16</v>
      </c>
      <c r="X4" s="34">
        <v>17</v>
      </c>
      <c r="Y4" s="33">
        <v>18</v>
      </c>
      <c r="Z4" s="34">
        <v>19</v>
      </c>
      <c r="AA4" s="34">
        <v>20</v>
      </c>
      <c r="AB4" s="34">
        <v>21</v>
      </c>
      <c r="AC4" s="34">
        <v>22</v>
      </c>
      <c r="AD4" s="34">
        <v>23</v>
      </c>
      <c r="AE4" s="34">
        <v>24</v>
      </c>
      <c r="AF4" s="34">
        <v>25</v>
      </c>
      <c r="AG4" s="34">
        <v>26</v>
      </c>
      <c r="AH4" s="34">
        <v>27</v>
      </c>
      <c r="AI4" s="34">
        <v>28</v>
      </c>
      <c r="AJ4" s="34">
        <v>29</v>
      </c>
      <c r="AK4" s="96">
        <v>30</v>
      </c>
      <c r="AL4" s="34">
        <v>31</v>
      </c>
      <c r="AM4" s="34">
        <v>32</v>
      </c>
      <c r="AN4" s="34">
        <v>33</v>
      </c>
      <c r="AO4" s="34">
        <v>34</v>
      </c>
      <c r="AP4" s="34">
        <v>35</v>
      </c>
      <c r="AQ4" s="34">
        <v>36</v>
      </c>
      <c r="AR4" s="34">
        <v>37</v>
      </c>
      <c r="AS4" s="34">
        <v>38</v>
      </c>
      <c r="AT4" s="34">
        <v>39</v>
      </c>
      <c r="AU4" s="35">
        <v>40</v>
      </c>
    </row>
    <row r="5" spans="2:47" s="38" customFormat="1" ht="20.100000000000001" customHeight="1" x14ac:dyDescent="0.2">
      <c r="B5" s="151"/>
      <c r="C5" s="152"/>
      <c r="D5" s="154"/>
      <c r="E5" s="136"/>
      <c r="F5" s="130"/>
      <c r="G5" s="36" t="s">
        <v>1</v>
      </c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94"/>
      <c r="AL5" s="7"/>
      <c r="AM5" s="7"/>
      <c r="AN5" s="7"/>
      <c r="AO5" s="7"/>
      <c r="AP5" s="7"/>
      <c r="AQ5" s="7"/>
      <c r="AR5" s="7"/>
      <c r="AS5" s="7"/>
      <c r="AT5" s="7"/>
      <c r="AU5" s="9"/>
    </row>
    <row r="6" spans="2:47" s="38" customFormat="1" ht="30" customHeight="1" x14ac:dyDescent="0.2">
      <c r="B6" s="77" t="s">
        <v>12</v>
      </c>
      <c r="C6" s="62"/>
      <c r="D6" s="35"/>
      <c r="E6" s="39">
        <v>6000</v>
      </c>
      <c r="F6" s="12">
        <f t="shared" ref="F6:F19" si="0">E6*G6</f>
        <v>0</v>
      </c>
      <c r="G6" s="95">
        <f t="shared" ref="G6:G19" si="1">SUM(H6:AU6)</f>
        <v>0</v>
      </c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97"/>
      <c r="AL6" s="40"/>
      <c r="AM6" s="40"/>
      <c r="AN6" s="40"/>
      <c r="AO6" s="40"/>
      <c r="AP6" s="40"/>
      <c r="AQ6" s="40"/>
      <c r="AR6" s="40"/>
      <c r="AS6" s="40"/>
      <c r="AT6" s="40"/>
      <c r="AU6" s="41"/>
    </row>
    <row r="7" spans="2:47" s="38" customFormat="1" ht="30" customHeight="1" x14ac:dyDescent="0.2">
      <c r="B7" s="78" t="s">
        <v>13</v>
      </c>
      <c r="C7" s="63"/>
      <c r="D7" s="64"/>
      <c r="E7" s="42">
        <v>6500</v>
      </c>
      <c r="F7" s="18">
        <f t="shared" si="0"/>
        <v>0</v>
      </c>
      <c r="G7" s="95">
        <f t="shared" si="1"/>
        <v>0</v>
      </c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98"/>
      <c r="AL7" s="43"/>
      <c r="AM7" s="43"/>
      <c r="AN7" s="43"/>
      <c r="AO7" s="43"/>
      <c r="AP7" s="43"/>
      <c r="AQ7" s="43"/>
      <c r="AR7" s="43"/>
      <c r="AS7" s="43"/>
      <c r="AT7" s="43"/>
      <c r="AU7" s="44"/>
    </row>
    <row r="8" spans="2:47" s="38" customFormat="1" ht="30" customHeight="1" x14ac:dyDescent="0.2">
      <c r="B8" s="78" t="s">
        <v>14</v>
      </c>
      <c r="C8" s="63"/>
      <c r="D8" s="64"/>
      <c r="E8" s="42">
        <v>7000</v>
      </c>
      <c r="F8" s="18">
        <f t="shared" si="0"/>
        <v>0</v>
      </c>
      <c r="G8" s="95">
        <f t="shared" si="1"/>
        <v>0</v>
      </c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98"/>
      <c r="AL8" s="43"/>
      <c r="AM8" s="43"/>
      <c r="AN8" s="43"/>
      <c r="AO8" s="43"/>
      <c r="AP8" s="43"/>
      <c r="AQ8" s="43"/>
      <c r="AR8" s="43"/>
      <c r="AS8" s="43"/>
      <c r="AT8" s="43"/>
      <c r="AU8" s="44"/>
    </row>
    <row r="9" spans="2:47" s="38" customFormat="1" ht="30" customHeight="1" x14ac:dyDescent="0.2">
      <c r="B9" s="78" t="s">
        <v>15</v>
      </c>
      <c r="C9" s="63"/>
      <c r="D9" s="64"/>
      <c r="E9" s="42">
        <v>5500</v>
      </c>
      <c r="F9" s="18">
        <f t="shared" si="0"/>
        <v>0</v>
      </c>
      <c r="G9" s="95">
        <f t="shared" si="1"/>
        <v>0</v>
      </c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98"/>
      <c r="AL9" s="43"/>
      <c r="AM9" s="43"/>
      <c r="AN9" s="43"/>
      <c r="AO9" s="43"/>
      <c r="AP9" s="43"/>
      <c r="AQ9" s="43"/>
      <c r="AR9" s="43"/>
      <c r="AS9" s="43"/>
      <c r="AT9" s="43"/>
      <c r="AU9" s="44"/>
    </row>
    <row r="10" spans="2:47" s="38" customFormat="1" ht="30" customHeight="1" x14ac:dyDescent="0.2">
      <c r="B10" s="78" t="s">
        <v>16</v>
      </c>
      <c r="C10" s="63"/>
      <c r="D10" s="64"/>
      <c r="E10" s="42">
        <v>4000</v>
      </c>
      <c r="F10" s="18">
        <f t="shared" si="0"/>
        <v>0</v>
      </c>
      <c r="G10" s="95">
        <f t="shared" si="1"/>
        <v>0</v>
      </c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98"/>
      <c r="AL10" s="43"/>
      <c r="AM10" s="43"/>
      <c r="AN10" s="43"/>
      <c r="AO10" s="43"/>
      <c r="AP10" s="43"/>
      <c r="AQ10" s="43"/>
      <c r="AR10" s="43"/>
      <c r="AS10" s="43"/>
      <c r="AT10" s="43"/>
      <c r="AU10" s="44"/>
    </row>
    <row r="11" spans="2:47" s="38" customFormat="1" ht="30" customHeight="1" x14ac:dyDescent="0.2">
      <c r="B11" s="78" t="s">
        <v>17</v>
      </c>
      <c r="C11" s="63"/>
      <c r="D11" s="64"/>
      <c r="E11" s="42">
        <v>4000</v>
      </c>
      <c r="F11" s="18">
        <f t="shared" si="0"/>
        <v>0</v>
      </c>
      <c r="G11" s="95">
        <f t="shared" si="1"/>
        <v>0</v>
      </c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98"/>
      <c r="AL11" s="43"/>
      <c r="AM11" s="43"/>
      <c r="AN11" s="43"/>
      <c r="AO11" s="43"/>
      <c r="AP11" s="43"/>
      <c r="AQ11" s="43"/>
      <c r="AR11" s="43"/>
      <c r="AS11" s="43"/>
      <c r="AT11" s="43"/>
      <c r="AU11" s="44"/>
    </row>
    <row r="12" spans="2:47" s="38" customFormat="1" ht="30" customHeight="1" x14ac:dyDescent="0.2">
      <c r="B12" s="78" t="s">
        <v>18</v>
      </c>
      <c r="C12" s="63"/>
      <c r="D12" s="64"/>
      <c r="E12" s="42">
        <v>4000</v>
      </c>
      <c r="F12" s="18">
        <f t="shared" si="0"/>
        <v>0</v>
      </c>
      <c r="G12" s="95">
        <f t="shared" si="1"/>
        <v>0</v>
      </c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98"/>
      <c r="AL12" s="43"/>
      <c r="AM12" s="43"/>
      <c r="AN12" s="43"/>
      <c r="AO12" s="43"/>
      <c r="AP12" s="43"/>
      <c r="AQ12" s="43"/>
      <c r="AR12" s="43"/>
      <c r="AS12" s="43"/>
      <c r="AT12" s="43"/>
      <c r="AU12" s="44"/>
    </row>
    <row r="13" spans="2:47" s="38" customFormat="1" ht="30" customHeight="1" x14ac:dyDescent="0.2">
      <c r="B13" s="78" t="s">
        <v>19</v>
      </c>
      <c r="C13" s="63"/>
      <c r="D13" s="64"/>
      <c r="E13" s="42">
        <v>5000</v>
      </c>
      <c r="F13" s="18">
        <f t="shared" si="0"/>
        <v>0</v>
      </c>
      <c r="G13" s="95">
        <f t="shared" si="1"/>
        <v>0</v>
      </c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99"/>
      <c r="AL13" s="43"/>
      <c r="AM13" s="43"/>
      <c r="AN13" s="43"/>
      <c r="AO13" s="43"/>
      <c r="AP13" s="43"/>
      <c r="AQ13" s="43"/>
      <c r="AR13" s="43"/>
      <c r="AS13" s="43"/>
      <c r="AT13" s="43"/>
      <c r="AU13" s="44"/>
    </row>
    <row r="14" spans="2:47" s="38" customFormat="1" ht="30" customHeight="1" x14ac:dyDescent="0.2">
      <c r="B14" s="78" t="s">
        <v>20</v>
      </c>
      <c r="C14" s="63"/>
      <c r="D14" s="64"/>
      <c r="E14" s="42">
        <v>7000</v>
      </c>
      <c r="F14" s="18">
        <f t="shared" si="0"/>
        <v>0</v>
      </c>
      <c r="G14" s="95">
        <f t="shared" si="1"/>
        <v>0</v>
      </c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98"/>
      <c r="AL14" s="43"/>
      <c r="AM14" s="43"/>
      <c r="AN14" s="43"/>
      <c r="AO14" s="43"/>
      <c r="AP14" s="43"/>
      <c r="AQ14" s="43"/>
      <c r="AR14" s="43"/>
      <c r="AS14" s="43"/>
      <c r="AT14" s="43"/>
      <c r="AU14" s="44"/>
    </row>
    <row r="15" spans="2:47" s="38" customFormat="1" ht="30" customHeight="1" x14ac:dyDescent="0.2">
      <c r="B15" s="78" t="s">
        <v>21</v>
      </c>
      <c r="C15" s="63"/>
      <c r="D15" s="64"/>
      <c r="E15" s="42">
        <v>7000</v>
      </c>
      <c r="F15" s="18">
        <f t="shared" si="0"/>
        <v>0</v>
      </c>
      <c r="G15" s="95">
        <f t="shared" si="1"/>
        <v>0</v>
      </c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98"/>
      <c r="AL15" s="43"/>
      <c r="AM15" s="43"/>
      <c r="AN15" s="43"/>
      <c r="AO15" s="43"/>
      <c r="AP15" s="43"/>
      <c r="AQ15" s="43"/>
      <c r="AR15" s="43"/>
      <c r="AS15" s="43"/>
      <c r="AT15" s="43"/>
      <c r="AU15" s="44"/>
    </row>
    <row r="16" spans="2:47" s="38" customFormat="1" ht="30" customHeight="1" x14ac:dyDescent="0.2">
      <c r="B16" s="78" t="s">
        <v>22</v>
      </c>
      <c r="C16" s="63"/>
      <c r="D16" s="64"/>
      <c r="E16" s="42">
        <v>7000</v>
      </c>
      <c r="F16" s="18">
        <f t="shared" si="0"/>
        <v>0</v>
      </c>
      <c r="G16" s="95">
        <f t="shared" si="1"/>
        <v>0</v>
      </c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98"/>
      <c r="AL16" s="43"/>
      <c r="AM16" s="43"/>
      <c r="AN16" s="43"/>
      <c r="AO16" s="43"/>
      <c r="AP16" s="43"/>
      <c r="AQ16" s="43"/>
      <c r="AR16" s="43"/>
      <c r="AS16" s="43"/>
      <c r="AT16" s="43"/>
      <c r="AU16" s="44"/>
    </row>
    <row r="17" spans="2:47" s="38" customFormat="1" ht="30" customHeight="1" x14ac:dyDescent="0.2">
      <c r="B17" s="78" t="s">
        <v>23</v>
      </c>
      <c r="C17" s="63"/>
      <c r="D17" s="64"/>
      <c r="E17" s="42">
        <v>7000</v>
      </c>
      <c r="F17" s="18">
        <f t="shared" si="0"/>
        <v>0</v>
      </c>
      <c r="G17" s="95">
        <f t="shared" si="1"/>
        <v>0</v>
      </c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98"/>
      <c r="AL17" s="43"/>
      <c r="AM17" s="43"/>
      <c r="AN17" s="43"/>
      <c r="AO17" s="43"/>
      <c r="AP17" s="43"/>
      <c r="AQ17" s="43"/>
      <c r="AR17" s="43"/>
      <c r="AS17" s="43"/>
      <c r="AT17" s="43"/>
      <c r="AU17" s="44"/>
    </row>
    <row r="18" spans="2:47" s="38" customFormat="1" ht="30" customHeight="1" x14ac:dyDescent="0.2">
      <c r="B18" s="78" t="s">
        <v>24</v>
      </c>
      <c r="C18" s="63"/>
      <c r="D18" s="64"/>
      <c r="E18" s="42">
        <v>7000</v>
      </c>
      <c r="F18" s="18">
        <f t="shared" si="0"/>
        <v>0</v>
      </c>
      <c r="G18" s="95">
        <f t="shared" si="1"/>
        <v>0</v>
      </c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99"/>
      <c r="AL18" s="43"/>
      <c r="AM18" s="43"/>
      <c r="AN18" s="43"/>
      <c r="AO18" s="43"/>
      <c r="AP18" s="43"/>
      <c r="AQ18" s="43"/>
      <c r="AR18" s="43"/>
      <c r="AS18" s="43"/>
      <c r="AT18" s="43"/>
      <c r="AU18" s="44"/>
    </row>
    <row r="19" spans="2:47" s="38" customFormat="1" ht="30" customHeight="1" x14ac:dyDescent="0.2">
      <c r="B19" s="79" t="s">
        <v>25</v>
      </c>
      <c r="C19" s="65"/>
      <c r="D19" s="9"/>
      <c r="E19" s="61">
        <v>7000</v>
      </c>
      <c r="F19" s="50">
        <f t="shared" si="0"/>
        <v>0</v>
      </c>
      <c r="G19" s="95">
        <f t="shared" si="1"/>
        <v>0</v>
      </c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98"/>
      <c r="AL19" s="45"/>
      <c r="AM19" s="45"/>
      <c r="AN19" s="45"/>
      <c r="AO19" s="45"/>
      <c r="AP19" s="45"/>
      <c r="AQ19" s="45"/>
      <c r="AR19" s="45"/>
      <c r="AS19" s="45"/>
      <c r="AT19" s="45"/>
      <c r="AU19" s="60"/>
    </row>
    <row r="20" spans="2:47" s="38" customFormat="1" ht="20.100000000000001" customHeight="1" x14ac:dyDescent="0.2">
      <c r="B20" s="139" t="s">
        <v>8</v>
      </c>
      <c r="C20" s="140"/>
      <c r="D20" s="144"/>
      <c r="E20" s="146">
        <f>SUM(E6:E8,E10:E15)+E9*2</f>
        <v>61500</v>
      </c>
      <c r="F20" s="125">
        <f>SUM(F6:F19)</f>
        <v>0</v>
      </c>
      <c r="G20" s="125">
        <f>SUM(G6:G19)</f>
        <v>0</v>
      </c>
      <c r="H20" s="23">
        <f t="shared" ref="H20:X20" si="2">SUM(H6:H19)</f>
        <v>0</v>
      </c>
      <c r="I20" s="23">
        <f t="shared" si="2"/>
        <v>0</v>
      </c>
      <c r="J20" s="23">
        <f t="shared" si="2"/>
        <v>0</v>
      </c>
      <c r="K20" s="23">
        <f t="shared" si="2"/>
        <v>0</v>
      </c>
      <c r="L20" s="23">
        <f t="shared" si="2"/>
        <v>0</v>
      </c>
      <c r="M20" s="23">
        <f t="shared" si="2"/>
        <v>0</v>
      </c>
      <c r="N20" s="23">
        <f t="shared" si="2"/>
        <v>0</v>
      </c>
      <c r="O20" s="23">
        <f t="shared" si="2"/>
        <v>0</v>
      </c>
      <c r="P20" s="23">
        <f t="shared" si="2"/>
        <v>0</v>
      </c>
      <c r="Q20" s="23">
        <f t="shared" si="2"/>
        <v>0</v>
      </c>
      <c r="R20" s="23">
        <f t="shared" si="2"/>
        <v>0</v>
      </c>
      <c r="S20" s="23">
        <f t="shared" si="2"/>
        <v>0</v>
      </c>
      <c r="T20" s="23">
        <f t="shared" si="2"/>
        <v>0</v>
      </c>
      <c r="U20" s="23">
        <f t="shared" si="2"/>
        <v>0</v>
      </c>
      <c r="V20" s="23">
        <f t="shared" si="2"/>
        <v>0</v>
      </c>
      <c r="W20" s="23">
        <f t="shared" si="2"/>
        <v>0</v>
      </c>
      <c r="X20" s="23">
        <f t="shared" si="2"/>
        <v>0</v>
      </c>
      <c r="Y20" s="23">
        <f t="shared" ref="Y20:AH20" si="3">SUM(Y6:Y19)</f>
        <v>0</v>
      </c>
      <c r="Z20" s="23">
        <f t="shared" si="3"/>
        <v>0</v>
      </c>
      <c r="AA20" s="23">
        <f t="shared" si="3"/>
        <v>0</v>
      </c>
      <c r="AB20" s="23">
        <f t="shared" si="3"/>
        <v>0</v>
      </c>
      <c r="AC20" s="23">
        <f t="shared" si="3"/>
        <v>0</v>
      </c>
      <c r="AD20" s="23">
        <f t="shared" si="3"/>
        <v>0</v>
      </c>
      <c r="AE20" s="23">
        <f t="shared" si="3"/>
        <v>0</v>
      </c>
      <c r="AF20" s="23">
        <f t="shared" si="3"/>
        <v>0</v>
      </c>
      <c r="AG20" s="23">
        <f t="shared" si="3"/>
        <v>0</v>
      </c>
      <c r="AH20" s="23">
        <f t="shared" si="3"/>
        <v>0</v>
      </c>
      <c r="AI20" s="23">
        <f>SUM(AI6:AI19)</f>
        <v>0</v>
      </c>
      <c r="AJ20" s="23">
        <f>SUM(AJ6:AJ19)</f>
        <v>0</v>
      </c>
      <c r="AK20" s="100">
        <f>SUM(AK6:AK19)</f>
        <v>0</v>
      </c>
      <c r="AL20" s="101">
        <f>SUM(AL6:AL19)</f>
        <v>0</v>
      </c>
      <c r="AM20" s="101">
        <f t="shared" ref="AM20:AU20" si="4">SUM(AM6:AM19)</f>
        <v>0</v>
      </c>
      <c r="AN20" s="101">
        <f t="shared" si="4"/>
        <v>0</v>
      </c>
      <c r="AO20" s="101">
        <f t="shared" si="4"/>
        <v>0</v>
      </c>
      <c r="AP20" s="101">
        <f t="shared" si="4"/>
        <v>0</v>
      </c>
      <c r="AQ20" s="101">
        <f t="shared" si="4"/>
        <v>0</v>
      </c>
      <c r="AR20" s="101">
        <f t="shared" si="4"/>
        <v>0</v>
      </c>
      <c r="AS20" s="101">
        <f t="shared" si="4"/>
        <v>0</v>
      </c>
      <c r="AT20" s="101">
        <f t="shared" si="4"/>
        <v>0</v>
      </c>
      <c r="AU20" s="102">
        <f t="shared" si="4"/>
        <v>0</v>
      </c>
    </row>
    <row r="21" spans="2:47" s="38" customFormat="1" ht="20.100000000000001" customHeight="1" x14ac:dyDescent="0.2">
      <c r="B21" s="141"/>
      <c r="C21" s="142"/>
      <c r="D21" s="145"/>
      <c r="E21" s="147"/>
      <c r="F21" s="126"/>
      <c r="G21" s="126"/>
      <c r="H21" s="46">
        <f>$E6*H6+$E7*H7+$E8*H8+$E9*H9+$E10*H10+$E11*H11+$E12*H12+$E14*H14+$E15*H15+$E16*H16+$E17*H17+$E18*H18+$E19*H19+$E13*H13</f>
        <v>0</v>
      </c>
      <c r="I21" s="28">
        <f t="shared" ref="I21:AK21" si="5">$E6*I6+$E7*I7+$E8*I8+$E9*I9+$E10*I10+$E11*I11+$E12*I12+$E14*I14+$E15*I15+$E16*I16+$E17*I17+$E18*I18+$E19*I19+$E13*I13</f>
        <v>0</v>
      </c>
      <c r="J21" s="28">
        <f t="shared" si="5"/>
        <v>0</v>
      </c>
      <c r="K21" s="28">
        <f t="shared" si="5"/>
        <v>0</v>
      </c>
      <c r="L21" s="28">
        <f t="shared" si="5"/>
        <v>0</v>
      </c>
      <c r="M21" s="28">
        <f t="shared" si="5"/>
        <v>0</v>
      </c>
      <c r="N21" s="28">
        <f t="shared" si="5"/>
        <v>0</v>
      </c>
      <c r="O21" s="28">
        <f t="shared" si="5"/>
        <v>0</v>
      </c>
      <c r="P21" s="28">
        <f t="shared" si="5"/>
        <v>0</v>
      </c>
      <c r="Q21" s="28">
        <f t="shared" si="5"/>
        <v>0</v>
      </c>
      <c r="R21" s="28">
        <f t="shared" si="5"/>
        <v>0</v>
      </c>
      <c r="S21" s="28">
        <f t="shared" si="5"/>
        <v>0</v>
      </c>
      <c r="T21" s="28">
        <f t="shared" si="5"/>
        <v>0</v>
      </c>
      <c r="U21" s="28">
        <f t="shared" si="5"/>
        <v>0</v>
      </c>
      <c r="V21" s="28">
        <f t="shared" si="5"/>
        <v>0</v>
      </c>
      <c r="W21" s="28">
        <f t="shared" si="5"/>
        <v>0</v>
      </c>
      <c r="X21" s="28">
        <f t="shared" si="5"/>
        <v>0</v>
      </c>
      <c r="Y21" s="28">
        <f t="shared" si="5"/>
        <v>0</v>
      </c>
      <c r="Z21" s="28">
        <f t="shared" si="5"/>
        <v>0</v>
      </c>
      <c r="AA21" s="28">
        <f t="shared" si="5"/>
        <v>0</v>
      </c>
      <c r="AB21" s="28">
        <f t="shared" si="5"/>
        <v>0</v>
      </c>
      <c r="AC21" s="28">
        <f t="shared" si="5"/>
        <v>0</v>
      </c>
      <c r="AD21" s="28">
        <f t="shared" si="5"/>
        <v>0</v>
      </c>
      <c r="AE21" s="28">
        <f t="shared" si="5"/>
        <v>0</v>
      </c>
      <c r="AF21" s="28">
        <f t="shared" si="5"/>
        <v>0</v>
      </c>
      <c r="AG21" s="28">
        <f t="shared" si="5"/>
        <v>0</v>
      </c>
      <c r="AH21" s="28">
        <f t="shared" si="5"/>
        <v>0</v>
      </c>
      <c r="AI21" s="28">
        <f t="shared" si="5"/>
        <v>0</v>
      </c>
      <c r="AJ21" s="28">
        <f t="shared" si="5"/>
        <v>0</v>
      </c>
      <c r="AK21" s="74">
        <f t="shared" si="5"/>
        <v>0</v>
      </c>
      <c r="AL21" s="28">
        <f>$E6*AL6+$E7*AL7+$E8*AL8+$E9*AL9+$E10*AL10+$E11*AL11+$E12*AL12+$E14*AL14+$E15*AL15+$E16*AL16+$E17*AL17+$E18*AL18+$E19*AL19+$E13*AL13</f>
        <v>0</v>
      </c>
      <c r="AM21" s="28">
        <f>$E6*AM6+$E7*AM7+$E8*AM8+$E9*AM9+$E10*AM10+$E11*AM11+$E12*AM12+$E14*AM14+$E15*AM15+$E16*AM16+$E17*AM17+$E18*AM18+$E19*AM19+$E13*AM13</f>
        <v>0</v>
      </c>
      <c r="AN21" s="28">
        <f>$E6*AN6+$E7*AN7+$E8*AN8+$E9*AN9+$E10*AN10+$E11*AN11+$E12*AN12+$E14*AN14+$E15*AN15+$E16*AN16+$E17*AN17+$E18*AN18+$E19*AN19+$E13*AN13</f>
        <v>0</v>
      </c>
      <c r="AO21" s="28">
        <f t="shared" ref="AO21:AU21" si="6">$E6*AO6+$E7*AO7+$E8*AO8+$E9*AO9+$E10*AO10+$E11*AO11+$E12*AO12+$E14*AO14+$E15*AO15+$E16*AO16+$E17*AO17+$E18*AO18+$E19*AO19+$E13*AO13</f>
        <v>0</v>
      </c>
      <c r="AP21" s="28">
        <f t="shared" si="6"/>
        <v>0</v>
      </c>
      <c r="AQ21" s="28">
        <f t="shared" si="6"/>
        <v>0</v>
      </c>
      <c r="AR21" s="28">
        <f t="shared" si="6"/>
        <v>0</v>
      </c>
      <c r="AS21" s="28">
        <f t="shared" si="6"/>
        <v>0</v>
      </c>
      <c r="AT21" s="28">
        <f t="shared" si="6"/>
        <v>0</v>
      </c>
      <c r="AU21" s="29">
        <f t="shared" si="6"/>
        <v>0</v>
      </c>
    </row>
  </sheetData>
  <sheetProtection password="CC67" sheet="1" objects="1" scenarios="1"/>
  <mergeCells count="10">
    <mergeCell ref="B20:D21"/>
    <mergeCell ref="E20:E21"/>
    <mergeCell ref="F20:F21"/>
    <mergeCell ref="G20:G21"/>
    <mergeCell ref="B2:G2"/>
    <mergeCell ref="B4:B5"/>
    <mergeCell ref="C4:C5"/>
    <mergeCell ref="D4:D5"/>
    <mergeCell ref="E4:E5"/>
    <mergeCell ref="F4:F5"/>
  </mergeCells>
  <phoneticPr fontId="2" type="noConversion"/>
  <pageMargins left="0.7" right="0.7" top="0.75" bottom="0.75" header="0.3" footer="0.3"/>
  <pageSetup paperSize="9" scale="3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34</vt:i4>
      </vt:variant>
    </vt:vector>
  </HeadingPairs>
  <TitlesOfParts>
    <vt:vector size="34" baseType="lpstr">
      <vt:lpstr>MONTHLY TOTAL</vt:lpstr>
      <vt:lpstr>POSTING,TR,COMP</vt:lpstr>
      <vt:lpstr>Mar 31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 (1)</vt:lpstr>
      <vt:lpstr>17 (2)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Milla Park</dc:creator>
  <cp:lastModifiedBy>Grace KWON</cp:lastModifiedBy>
  <cp:lastPrinted>2025-10-03T08:53:05Z</cp:lastPrinted>
  <dcterms:created xsi:type="dcterms:W3CDTF">2021-03-08T05:34:43Z</dcterms:created>
  <dcterms:modified xsi:type="dcterms:W3CDTF">2026-04-28T09:05:52Z</dcterms:modified>
</cp:coreProperties>
</file>